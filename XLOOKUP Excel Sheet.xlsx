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F658D458-4B20-43FD-AD5B-514751F712CB}" xr6:coauthVersionLast="47" xr6:coauthVersionMax="47" xr10:uidLastSave="{00000000-0000-0000-0000-000000000000}"/>
  <bookViews>
    <workbookView xWindow="-108" yWindow="-108" windowWidth="23256" windowHeight="12456" firstSheet="5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7" l="1"/>
  <c r="B7" i="7"/>
  <c r="B3" i="4"/>
  <c r="B4" i="4"/>
  <c r="B2" i="4"/>
  <c r="B4" i="9"/>
  <c r="B3" i="9"/>
  <c r="B6" i="1"/>
  <c r="B5" i="1"/>
  <c r="B4" i="1"/>
  <c r="B3" i="1"/>
  <c r="I23" i="9"/>
  <c r="I22" i="9"/>
  <c r="H23" i="8"/>
  <c r="H22" i="8"/>
  <c r="I23" i="6"/>
  <c r="I22" i="6"/>
  <c r="G22" i="1"/>
  <c r="G23" i="1"/>
</calcChain>
</file>

<file path=xl/sharedStrings.xml><?xml version="1.0" encoding="utf-8"?>
<sst xmlns="http://schemas.openxmlformats.org/spreadsheetml/2006/main" count="485" uniqueCount="96">
  <si>
    <t>EmployeeID</t>
  </si>
  <si>
    <t>FirstName</t>
  </si>
  <si>
    <t>LastName</t>
  </si>
  <si>
    <t>Full Name</t>
  </si>
  <si>
    <t>Age</t>
  </si>
  <si>
    <t>Address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</si>
  <si>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</si>
  <si>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</si>
  <si>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</si>
  <si>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</si>
  <si>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</si>
  <si>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</si>
  <si>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</si>
  <si>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</si>
  <si>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Jim Halpert</t>
  </si>
  <si>
    <t>Male</t>
  </si>
  <si>
    <t>Salesman</t>
  </si>
  <si>
    <t>11/2/2001</t>
  </si>
  <si>
    <t>9/6/2015</t>
  </si>
  <si>
    <t>Jim.Halpert@DunderMifflin.com</t>
  </si>
  <si>
    <t>Toby Flenderson</t>
  </si>
  <si>
    <t>Ron</t>
  </si>
  <si>
    <t>Weasley</t>
  </si>
  <si>
    <t>Ron Weasley</t>
  </si>
  <si>
    <t>Receptionist</t>
  </si>
  <si>
    <t>10/3/1999</t>
  </si>
  <si>
    <t>10/10/2015</t>
  </si>
  <si>
    <t>Ron.Weasley@Hogwarts.com</t>
  </si>
  <si>
    <t>Dwight</t>
  </si>
  <si>
    <t>Schrute</t>
  </si>
  <si>
    <t>Dwight Schrute</t>
  </si>
  <si>
    <t>7/4/2000</t>
  </si>
  <si>
    <t>9/8/2017</t>
  </si>
  <si>
    <t>Dwight.Schrute@AOL.com</t>
  </si>
  <si>
    <t>Meredith</t>
  </si>
  <si>
    <t>Angela</t>
  </si>
  <si>
    <t>Martin</t>
  </si>
  <si>
    <t>Angela Martin</t>
  </si>
  <si>
    <t>Female</t>
  </si>
  <si>
    <t>Accountant</t>
  </si>
  <si>
    <t>1/5/2000</t>
  </si>
  <si>
    <t>12/3/2015</t>
  </si>
  <si>
    <t>Angela.Martin@DunderMifflin.com</t>
  </si>
  <si>
    <t>Kevin Malo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</si>
  <si>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</si>
  <si>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</si>
  <si>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</si>
  <si>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</si>
  <si>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</si>
  <si>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</si>
  <si>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</si>
  <si>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</si>
  <si>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</si>
  <si>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</si>
  <si>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9/11/2013</t>
  </si>
  <si>
    <t>Michael.Scott@DunderMifflin.com</t>
  </si>
  <si>
    <t>Palmer</t>
  </si>
  <si>
    <t>Meredith Palmer</t>
  </si>
  <si>
    <t>Supplier Relations</t>
  </si>
  <si>
    <t>11/8/2003</t>
  </si>
  <si>
    <t>Meredith.Palmer@Yahoo.com</t>
  </si>
  <si>
    <t>Stanley</t>
  </si>
  <si>
    <t>Hudson</t>
  </si>
  <si>
    <t>Stanley Hudson</t>
  </si>
  <si>
    <t>6/9/2002</t>
  </si>
  <si>
    <t>4/22/2015</t>
  </si>
  <si>
    <t>Stanley.Hudson@gmail.com</t>
  </si>
  <si>
    <t>Kevin</t>
  </si>
  <si>
    <t>Malone</t>
  </si>
  <si>
    <t>Kevin Malone</t>
  </si>
  <si>
    <t>8/10/2003</t>
  </si>
  <si>
    <t>Kevin.Malone@DunderMifflin.com</t>
  </si>
  <si>
    <t>Pam</t>
  </si>
  <si>
    <t>Beasley</t>
  </si>
  <si>
    <t>Pam Beasley</t>
  </si>
  <si>
    <t>Pam.Beasley@DunderMifflin.com</t>
  </si>
  <si>
    <t>Toby Flender</t>
  </si>
  <si>
    <t>Start Date</t>
  </si>
  <si>
    <t>Person</t>
  </si>
  <si>
    <t>1/1/2000</t>
  </si>
  <si>
    <t xml:space="preserve">February 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</si>
  <si>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</si>
  <si>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</si>
  <si>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</si>
  <si>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</si>
  <si>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</si>
  <si>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</si>
  <si>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</si>
  <si>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</si>
  <si>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</si>
  <si>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</si>
  <si>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</si>
  <si>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</si>
  <si>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</si>
  <si>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</si>
  <si>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February-March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</si>
</sst>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14" fontId="1" fillId="0" borderId="0" xfId="1" applyNumberForma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3BA589-43F8-4742-B229-97047CD4393D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wRARcN9Hsx7YNz2a0tLA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n.Weasley@Hogwar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O23"/>
  <sheetViews>
    <sheetView tabSelected="1" topLeftCell="B1" workbookViewId="0">
      <selection activeCell="D1" sqref="D1:D1048576"/>
    </sheetView>
  </sheetViews>
  <sheetFormatPr defaultRowHeight="14.45"/>
  <cols>
    <col min="1" max="1" width="17.28515625" customWidth="1"/>
    <col min="2" max="2" width="24.5703125" customWidth="1"/>
    <col min="7" max="7" width="14.7109375" bestFit="1" customWidth="1"/>
    <col min="8" max="8" width="7.85546875" customWidth="1"/>
    <col min="9" max="9" width="8.140625" customWidth="1"/>
    <col min="11" max="11" width="14.5703125" customWidth="1"/>
    <col min="12" max="12" width="15.140625" customWidth="1"/>
    <col min="15" max="15" width="40.7109375" bestFit="1" customWidth="1"/>
  </cols>
  <sheetData>
    <row r="1" spans="1:15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>
      <c r="A2" t="s">
        <v>3</v>
      </c>
      <c r="B2" t="s">
        <v>11</v>
      </c>
      <c r="D2">
        <v>1001</v>
      </c>
      <c r="E2" t="s">
        <v>12</v>
      </c>
      <c r="F2" t="s">
        <v>13</v>
      </c>
      <c r="G2" t="s">
        <v>14</v>
      </c>
      <c r="H2">
        <v>30</v>
      </c>
      <c r="J2" t="s">
        <v>15</v>
      </c>
      <c r="K2" t="s">
        <v>16</v>
      </c>
      <c r="L2">
        <v>45000</v>
      </c>
      <c r="M2" s="1" t="s">
        <v>17</v>
      </c>
      <c r="N2" s="1" t="s">
        <v>18</v>
      </c>
      <c r="O2" s="2" t="s">
        <v>19</v>
      </c>
    </row>
    <row r="3" spans="1:15" ht="15">
      <c r="A3" t="s">
        <v>20</v>
      </c>
      <c r="B3" t="str">
        <f>_xlfn.XLOOKUP(A3,G2:G10,O2:O10)</f>
        <v>Toby.Flenderson@DunderMifflinCorporate.com</v>
      </c>
      <c r="D3">
        <v>1002</v>
      </c>
      <c r="E3" t="s">
        <v>21</v>
      </c>
      <c r="F3" t="s">
        <v>22</v>
      </c>
      <c r="G3" t="s">
        <v>23</v>
      </c>
      <c r="H3">
        <v>30</v>
      </c>
      <c r="J3" t="s">
        <v>15</v>
      </c>
      <c r="K3" t="s">
        <v>24</v>
      </c>
      <c r="L3">
        <v>36000</v>
      </c>
      <c r="M3" s="1" t="s">
        <v>25</v>
      </c>
      <c r="N3" s="1" t="s">
        <v>26</v>
      </c>
      <c r="O3" s="3" t="s">
        <v>27</v>
      </c>
    </row>
    <row r="4" spans="1:15">
      <c r="A4" t="s">
        <v>22</v>
      </c>
      <c r="B4" t="str">
        <f>_xlfn.XLOOKUP("*"&amp;A4,G2:G10,O2:O10,"Not found",2)</f>
        <v>Ron.Weasley@Hogwarts.com</v>
      </c>
      <c r="D4">
        <v>1003</v>
      </c>
      <c r="E4" t="s">
        <v>28</v>
      </c>
      <c r="F4" t="s">
        <v>29</v>
      </c>
      <c r="G4" t="s">
        <v>30</v>
      </c>
      <c r="H4">
        <v>29</v>
      </c>
      <c r="J4" t="s">
        <v>15</v>
      </c>
      <c r="K4" t="s">
        <v>16</v>
      </c>
      <c r="L4">
        <v>63000</v>
      </c>
      <c r="M4" s="1" t="s">
        <v>31</v>
      </c>
      <c r="N4" s="1" t="s">
        <v>32</v>
      </c>
      <c r="O4" s="2" t="s">
        <v>33</v>
      </c>
    </row>
    <row r="5" spans="1:15">
      <c r="A5" t="s">
        <v>34</v>
      </c>
      <c r="B5" t="str">
        <f>_xlfn.XLOOKUP(A5&amp;"*",G2:G10,O2:O10,"Not Found",2)</f>
        <v>Meredith.Palmer@Yahoo.com</v>
      </c>
      <c r="D5">
        <v>1004</v>
      </c>
      <c r="E5" t="s">
        <v>35</v>
      </c>
      <c r="F5" t="s">
        <v>36</v>
      </c>
      <c r="G5" t="s">
        <v>37</v>
      </c>
      <c r="H5">
        <v>31</v>
      </c>
      <c r="J5" t="s">
        <v>38</v>
      </c>
      <c r="K5" t="s">
        <v>39</v>
      </c>
      <c r="L5">
        <v>47000</v>
      </c>
      <c r="M5" s="1" t="s">
        <v>40</v>
      </c>
      <c r="N5" s="1" t="s">
        <v>41</v>
      </c>
      <c r="O5" s="2" t="s">
        <v>42</v>
      </c>
    </row>
    <row r="6" spans="1:15">
      <c r="A6" t="s">
        <v>43</v>
      </c>
      <c r="B6" t="str">
        <f>_xlfn.XLOOKUP(A6&amp;"*",G3:G11,O3:O11,"Not Found",2)</f>
        <v>Kevin.Malone@DunderMifflin.com</v>
      </c>
      <c r="D6">
        <v>1005</v>
      </c>
      <c r="E6" t="s">
        <v>44</v>
      </c>
      <c r="F6" t="s">
        <v>45</v>
      </c>
      <c r="G6" t="s">
        <v>20</v>
      </c>
      <c r="H6">
        <v>32</v>
      </c>
      <c r="J6" t="s">
        <v>15</v>
      </c>
      <c r="K6" t="s">
        <v>46</v>
      </c>
      <c r="L6">
        <v>50000</v>
      </c>
      <c r="M6" s="1" t="s">
        <v>47</v>
      </c>
      <c r="N6" s="1" t="s">
        <v>48</v>
      </c>
      <c r="O6" s="2" t="s">
        <v>49</v>
      </c>
    </row>
    <row r="7" spans="1:15">
      <c r="D7">
        <v>1006</v>
      </c>
      <c r="E7" t="s">
        <v>50</v>
      </c>
      <c r="F7" t="s">
        <v>51</v>
      </c>
      <c r="G7" t="s">
        <v>52</v>
      </c>
      <c r="H7">
        <v>35</v>
      </c>
      <c r="J7" t="s">
        <v>15</v>
      </c>
      <c r="K7" t="s">
        <v>53</v>
      </c>
      <c r="L7">
        <v>65000</v>
      </c>
      <c r="M7" s="1" t="s">
        <v>47</v>
      </c>
      <c r="N7" s="1" t="s">
        <v>54</v>
      </c>
      <c r="O7" s="2" t="s">
        <v>55</v>
      </c>
    </row>
    <row r="8" spans="1:15">
      <c r="D8">
        <v>1007</v>
      </c>
      <c r="E8" t="s">
        <v>34</v>
      </c>
      <c r="F8" t="s">
        <v>56</v>
      </c>
      <c r="G8" t="s">
        <v>57</v>
      </c>
      <c r="H8">
        <v>32</v>
      </c>
      <c r="J8" t="s">
        <v>38</v>
      </c>
      <c r="K8" t="s">
        <v>58</v>
      </c>
      <c r="L8">
        <v>41000</v>
      </c>
      <c r="M8" s="1" t="s">
        <v>59</v>
      </c>
      <c r="N8" s="1" t="s">
        <v>54</v>
      </c>
      <c r="O8" s="2" t="s">
        <v>60</v>
      </c>
    </row>
    <row r="9" spans="1:15">
      <c r="D9">
        <v>1008</v>
      </c>
      <c r="E9" t="s">
        <v>61</v>
      </c>
      <c r="F9" t="s">
        <v>62</v>
      </c>
      <c r="G9" t="s">
        <v>63</v>
      </c>
      <c r="H9">
        <v>38</v>
      </c>
      <c r="J9" t="s">
        <v>15</v>
      </c>
      <c r="K9" t="s">
        <v>16</v>
      </c>
      <c r="L9">
        <v>48000</v>
      </c>
      <c r="M9" s="1" t="s">
        <v>64</v>
      </c>
      <c r="N9" s="1" t="s">
        <v>65</v>
      </c>
      <c r="O9" s="2" t="s">
        <v>66</v>
      </c>
    </row>
    <row r="10" spans="1:15">
      <c r="D10">
        <v>1009</v>
      </c>
      <c r="E10" t="s">
        <v>67</v>
      </c>
      <c r="F10" t="s">
        <v>68</v>
      </c>
      <c r="G10" t="s">
        <v>69</v>
      </c>
      <c r="H10">
        <v>31</v>
      </c>
      <c r="J10" t="s">
        <v>15</v>
      </c>
      <c r="K10" t="s">
        <v>39</v>
      </c>
      <c r="L10">
        <v>42000</v>
      </c>
      <c r="M10" s="1" t="s">
        <v>70</v>
      </c>
      <c r="N10" s="1" t="s">
        <v>65</v>
      </c>
      <c r="O10" s="2" t="s">
        <v>71</v>
      </c>
    </row>
    <row r="22" spans="7:7">
      <c r="G22" t="str">
        <f t="shared" ref="G22:G23" si="0">CONCATENATE(E12," ",F12)</f>
        <v xml:space="preserve"> </v>
      </c>
    </row>
    <row r="23" spans="7:7">
      <c r="G23" t="str">
        <f t="shared" si="0"/>
        <v xml:space="preserve"> </v>
      </c>
    </row>
  </sheetData>
  <conditionalFormatting sqref="L1:L104857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{FFA3962B-940E-40C8-8249-6D49040A3487}</x14:id>
        </ext>
      </extLst>
    </cfRule>
  </conditionalFormatting>
  <conditionalFormatting sqref="H1:H104857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H1:H1048576">
    <cfRule type="aboveAverage" dxfId="0" priority="2"/>
  </conditionalFormatting>
  <hyperlinks>
    <hyperlink ref="O3" r:id="rId1" xr:uid="{B57818CF-6797-4A9C-BC42-37DE657082E8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A3962B-940E-40C8-8249-6D49040A34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D18" sqref="D18"/>
    </sheetView>
  </sheetViews>
  <sheetFormatPr defaultRowHeight="14.45"/>
  <cols>
    <col min="1" max="1" width="14.710937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10</v>
      </c>
      <c r="C2" t="s">
        <v>11</v>
      </c>
      <c r="F2">
        <v>1001</v>
      </c>
      <c r="G2" t="s">
        <v>12</v>
      </c>
      <c r="H2" t="s">
        <v>13</v>
      </c>
      <c r="I2" t="s">
        <v>14</v>
      </c>
      <c r="J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20</v>
      </c>
      <c r="F3">
        <v>1002</v>
      </c>
      <c r="G3" t="s">
        <v>72</v>
      </c>
      <c r="H3" t="s">
        <v>73</v>
      </c>
      <c r="I3" t="s">
        <v>74</v>
      </c>
      <c r="J3">
        <v>30</v>
      </c>
      <c r="K3" t="s">
        <v>38</v>
      </c>
      <c r="L3" t="s">
        <v>24</v>
      </c>
      <c r="M3">
        <v>36000</v>
      </c>
      <c r="N3" s="1" t="s">
        <v>25</v>
      </c>
      <c r="O3" s="1" t="s">
        <v>26</v>
      </c>
      <c r="P3" s="2" t="s">
        <v>75</v>
      </c>
    </row>
    <row r="4" spans="1:16">
      <c r="A4" t="s">
        <v>74</v>
      </c>
      <c r="F4">
        <v>1003</v>
      </c>
      <c r="G4" t="s">
        <v>28</v>
      </c>
      <c r="H4" t="s">
        <v>29</v>
      </c>
      <c r="I4" t="s">
        <v>30</v>
      </c>
      <c r="J4">
        <v>29</v>
      </c>
      <c r="K4" t="s">
        <v>15</v>
      </c>
      <c r="L4" t="s">
        <v>16</v>
      </c>
      <c r="M4">
        <v>63000</v>
      </c>
      <c r="N4" s="1" t="s">
        <v>31</v>
      </c>
      <c r="O4" s="1" t="s">
        <v>32</v>
      </c>
      <c r="P4" s="2" t="s">
        <v>33</v>
      </c>
    </row>
    <row r="5" spans="1:16">
      <c r="A5" t="s">
        <v>57</v>
      </c>
      <c r="F5">
        <v>1004</v>
      </c>
      <c r="G5" t="s">
        <v>35</v>
      </c>
      <c r="H5" t="s">
        <v>36</v>
      </c>
      <c r="I5" t="s">
        <v>37</v>
      </c>
      <c r="J5">
        <v>31</v>
      </c>
      <c r="K5" t="s">
        <v>38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A6" t="s">
        <v>69</v>
      </c>
      <c r="F6">
        <v>1005</v>
      </c>
      <c r="G6" t="s">
        <v>44</v>
      </c>
      <c r="H6" t="s">
        <v>45</v>
      </c>
      <c r="I6" t="s">
        <v>20</v>
      </c>
      <c r="J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F7">
        <v>1006</v>
      </c>
      <c r="G7" t="s">
        <v>50</v>
      </c>
      <c r="H7" t="s">
        <v>51</v>
      </c>
      <c r="I7" t="s">
        <v>52</v>
      </c>
      <c r="J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F8">
        <v>1007</v>
      </c>
      <c r="G8" t="s">
        <v>34</v>
      </c>
      <c r="H8" t="s">
        <v>56</v>
      </c>
      <c r="I8" t="s">
        <v>57</v>
      </c>
      <c r="J8">
        <v>32</v>
      </c>
      <c r="K8" t="s">
        <v>38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F9">
        <v>1008</v>
      </c>
      <c r="G9" t="s">
        <v>61</v>
      </c>
      <c r="H9" t="s">
        <v>62</v>
      </c>
      <c r="I9" t="s">
        <v>63</v>
      </c>
      <c r="J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F10">
        <v>1009</v>
      </c>
      <c r="G10" t="s">
        <v>67</v>
      </c>
      <c r="H10" t="s">
        <v>68</v>
      </c>
      <c r="I10" t="s">
        <v>69</v>
      </c>
      <c r="J10">
        <v>31</v>
      </c>
      <c r="K10" t="s">
        <v>15</v>
      </c>
      <c r="L10" t="s">
        <v>39</v>
      </c>
      <c r="M10">
        <v>42000</v>
      </c>
      <c r="N10" s="1" t="s">
        <v>70</v>
      </c>
      <c r="O10" s="1" t="s">
        <v>65</v>
      </c>
      <c r="P10" s="2" t="s">
        <v>71</v>
      </c>
    </row>
    <row r="22" spans="9:9">
      <c r="I22" t="str">
        <f t="shared" ref="I22:I23" si="0">CONCATENATE(G12," ",H12)</f>
        <v xml:space="preserve"> </v>
      </c>
    </row>
    <row r="23" spans="9:9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D17" sqref="D17"/>
    </sheetView>
  </sheetViews>
  <sheetFormatPr defaultRowHeight="14.4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K2" t="s">
        <v>16</v>
      </c>
      <c r="L2">
        <v>45000</v>
      </c>
      <c r="M2" s="1" t="s">
        <v>17</v>
      </c>
      <c r="N2" s="1" t="s">
        <v>18</v>
      </c>
      <c r="O2" s="2" t="s">
        <v>19</v>
      </c>
    </row>
    <row r="3" spans="1:15">
      <c r="A3" t="s">
        <v>76</v>
      </c>
      <c r="E3">
        <v>1002</v>
      </c>
      <c r="F3" t="s">
        <v>72</v>
      </c>
      <c r="G3" t="s">
        <v>73</v>
      </c>
      <c r="H3" t="s">
        <v>74</v>
      </c>
      <c r="I3">
        <v>30</v>
      </c>
      <c r="J3" t="s">
        <v>38</v>
      </c>
      <c r="K3" t="s">
        <v>24</v>
      </c>
      <c r="L3">
        <v>36000</v>
      </c>
      <c r="M3" s="1" t="s">
        <v>25</v>
      </c>
      <c r="N3" s="1" t="s">
        <v>26</v>
      </c>
      <c r="O3" s="2" t="s">
        <v>75</v>
      </c>
    </row>
    <row r="4" spans="1:15">
      <c r="A4" t="s">
        <v>73</v>
      </c>
      <c r="E4">
        <v>1003</v>
      </c>
      <c r="F4" t="s">
        <v>28</v>
      </c>
      <c r="G4" t="s">
        <v>29</v>
      </c>
      <c r="H4" t="s">
        <v>30</v>
      </c>
      <c r="I4">
        <v>29</v>
      </c>
      <c r="J4" t="s">
        <v>15</v>
      </c>
      <c r="K4" t="s">
        <v>16</v>
      </c>
      <c r="L4">
        <v>63000</v>
      </c>
      <c r="M4" s="1" t="s">
        <v>31</v>
      </c>
      <c r="N4" s="1" t="s">
        <v>32</v>
      </c>
      <c r="O4" s="2" t="s">
        <v>33</v>
      </c>
    </row>
    <row r="5" spans="1:15">
      <c r="A5" t="s">
        <v>34</v>
      </c>
      <c r="E5">
        <v>1004</v>
      </c>
      <c r="F5" t="s">
        <v>35</v>
      </c>
      <c r="G5" t="s">
        <v>36</v>
      </c>
      <c r="H5" t="s">
        <v>37</v>
      </c>
      <c r="I5">
        <v>31</v>
      </c>
      <c r="J5" t="s">
        <v>38</v>
      </c>
      <c r="K5" t="s">
        <v>39</v>
      </c>
      <c r="L5">
        <v>47000</v>
      </c>
      <c r="M5" s="1" t="s">
        <v>40</v>
      </c>
      <c r="N5" s="1" t="s">
        <v>41</v>
      </c>
      <c r="O5" s="2" t="s">
        <v>42</v>
      </c>
    </row>
    <row r="6" spans="1:15">
      <c r="A6" t="s">
        <v>43</v>
      </c>
      <c r="E6">
        <v>1005</v>
      </c>
      <c r="F6" t="s">
        <v>44</v>
      </c>
      <c r="G6" t="s">
        <v>45</v>
      </c>
      <c r="H6" t="s">
        <v>20</v>
      </c>
      <c r="I6">
        <v>32</v>
      </c>
      <c r="J6" t="s">
        <v>15</v>
      </c>
      <c r="K6" t="s">
        <v>46</v>
      </c>
      <c r="L6">
        <v>50000</v>
      </c>
      <c r="M6" s="1" t="s">
        <v>47</v>
      </c>
      <c r="N6" s="1" t="s">
        <v>48</v>
      </c>
      <c r="O6" s="2" t="s">
        <v>49</v>
      </c>
    </row>
    <row r="7" spans="1:15">
      <c r="E7">
        <v>1006</v>
      </c>
      <c r="F7" t="s">
        <v>50</v>
      </c>
      <c r="G7" t="s">
        <v>51</v>
      </c>
      <c r="H7" t="s">
        <v>52</v>
      </c>
      <c r="I7">
        <v>35</v>
      </c>
      <c r="J7" t="s">
        <v>15</v>
      </c>
      <c r="K7" t="s">
        <v>53</v>
      </c>
      <c r="L7">
        <v>65000</v>
      </c>
      <c r="M7" s="1" t="s">
        <v>47</v>
      </c>
      <c r="N7" s="1" t="s">
        <v>54</v>
      </c>
      <c r="O7" s="2" t="s">
        <v>55</v>
      </c>
    </row>
    <row r="8" spans="1:15">
      <c r="E8">
        <v>1007</v>
      </c>
      <c r="F8" t="s">
        <v>34</v>
      </c>
      <c r="G8" t="s">
        <v>56</v>
      </c>
      <c r="H8" t="s">
        <v>57</v>
      </c>
      <c r="I8">
        <v>32</v>
      </c>
      <c r="J8" t="s">
        <v>38</v>
      </c>
      <c r="K8" t="s">
        <v>58</v>
      </c>
      <c r="L8">
        <v>41000</v>
      </c>
      <c r="M8" s="1" t="s">
        <v>59</v>
      </c>
      <c r="N8" s="1" t="s">
        <v>54</v>
      </c>
      <c r="O8" s="2" t="s">
        <v>60</v>
      </c>
    </row>
    <row r="9" spans="1:15">
      <c r="E9">
        <v>1008</v>
      </c>
      <c r="F9" t="s">
        <v>61</v>
      </c>
      <c r="G9" t="s">
        <v>62</v>
      </c>
      <c r="H9" t="s">
        <v>63</v>
      </c>
      <c r="I9">
        <v>38</v>
      </c>
      <c r="J9" t="s">
        <v>15</v>
      </c>
      <c r="K9" t="s">
        <v>16</v>
      </c>
      <c r="L9">
        <v>48000</v>
      </c>
      <c r="M9" s="1" t="s">
        <v>64</v>
      </c>
      <c r="N9" s="1" t="s">
        <v>65</v>
      </c>
      <c r="O9" s="2" t="s">
        <v>66</v>
      </c>
    </row>
    <row r="10" spans="1:15">
      <c r="E10">
        <v>1009</v>
      </c>
      <c r="F10" t="s">
        <v>67</v>
      </c>
      <c r="G10" t="s">
        <v>68</v>
      </c>
      <c r="H10" t="s">
        <v>69</v>
      </c>
      <c r="I10">
        <v>31</v>
      </c>
      <c r="J10" t="s">
        <v>15</v>
      </c>
      <c r="K10" t="s">
        <v>39</v>
      </c>
      <c r="L10">
        <v>42000</v>
      </c>
      <c r="M10" s="1" t="s">
        <v>70</v>
      </c>
      <c r="N10" s="1" t="s">
        <v>65</v>
      </c>
      <c r="O10" s="2" t="s">
        <v>71</v>
      </c>
    </row>
    <row r="22" spans="8:8">
      <c r="H22" t="str">
        <f t="shared" ref="H22:H23" si="0">CONCATENATE(F12," ",G12)</f>
        <v xml:space="preserve"> </v>
      </c>
    </row>
    <row r="23" spans="8:8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4" sqref="B4"/>
    </sheetView>
  </sheetViews>
  <sheetFormatPr defaultRowHeight="14.4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4" max="14" width="10.42578125" bestFit="1" customWidth="1"/>
    <col min="16" max="16" width="40.7109375" bestFit="1" customWidth="1"/>
  </cols>
  <sheetData>
    <row r="1" spans="1:16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77</v>
      </c>
      <c r="B2" t="s">
        <v>78</v>
      </c>
      <c r="F2">
        <v>1001</v>
      </c>
      <c r="G2" t="s">
        <v>12</v>
      </c>
      <c r="H2" t="s">
        <v>13</v>
      </c>
      <c r="I2" t="s">
        <v>14</v>
      </c>
      <c r="J2">
        <v>30</v>
      </c>
      <c r="K2" t="s">
        <v>15</v>
      </c>
      <c r="L2" t="s">
        <v>16</v>
      </c>
      <c r="M2">
        <v>45000</v>
      </c>
      <c r="N2" s="2" t="s">
        <v>17</v>
      </c>
      <c r="O2" s="1" t="s">
        <v>18</v>
      </c>
      <c r="P2" s="2" t="s">
        <v>19</v>
      </c>
    </row>
    <row r="3" spans="1:16">
      <c r="A3" s="2" t="s">
        <v>79</v>
      </c>
      <c r="B3" t="str">
        <f>_xlfn.XLOOKUP(A3, N2:N10, I2:I10, "Not Found", -1)</f>
        <v>Pam Beasley</v>
      </c>
      <c r="F3">
        <v>1002</v>
      </c>
      <c r="G3" t="s">
        <v>72</v>
      </c>
      <c r="H3" t="s">
        <v>73</v>
      </c>
      <c r="I3" t="s">
        <v>74</v>
      </c>
      <c r="J3">
        <v>30</v>
      </c>
      <c r="K3" t="s">
        <v>38</v>
      </c>
      <c r="L3" t="s">
        <v>24</v>
      </c>
      <c r="M3">
        <v>36000</v>
      </c>
      <c r="N3" s="2">
        <v>36436</v>
      </c>
      <c r="O3" s="1" t="s">
        <v>26</v>
      </c>
      <c r="P3" s="2" t="s">
        <v>75</v>
      </c>
    </row>
    <row r="4" spans="1:16">
      <c r="A4" s="2" t="s">
        <v>47</v>
      </c>
      <c r="B4" t="str">
        <f>_xlfn.XLOOKUP(A4,N2:N10,I2:I10,,,-2)</f>
        <v>Michael Scott</v>
      </c>
      <c r="F4">
        <v>1003</v>
      </c>
      <c r="G4" t="s">
        <v>28</v>
      </c>
      <c r="H4" t="s">
        <v>29</v>
      </c>
      <c r="I4" t="s">
        <v>30</v>
      </c>
      <c r="J4">
        <v>29</v>
      </c>
      <c r="K4" t="s">
        <v>15</v>
      </c>
      <c r="L4" t="s">
        <v>16</v>
      </c>
      <c r="M4">
        <v>63000</v>
      </c>
      <c r="N4" s="2" t="s">
        <v>31</v>
      </c>
      <c r="O4" s="1" t="s">
        <v>32</v>
      </c>
      <c r="P4" s="2" t="s">
        <v>33</v>
      </c>
    </row>
    <row r="5" spans="1:16">
      <c r="F5">
        <v>1004</v>
      </c>
      <c r="G5" t="s">
        <v>35</v>
      </c>
      <c r="H5" t="s">
        <v>36</v>
      </c>
      <c r="I5" t="s">
        <v>37</v>
      </c>
      <c r="J5">
        <v>31</v>
      </c>
      <c r="K5" t="s">
        <v>38</v>
      </c>
      <c r="L5" t="s">
        <v>39</v>
      </c>
      <c r="M5">
        <v>47000</v>
      </c>
      <c r="N5" s="2" t="s">
        <v>40</v>
      </c>
      <c r="O5" s="1" t="s">
        <v>41</v>
      </c>
      <c r="P5" s="2" t="s">
        <v>42</v>
      </c>
    </row>
    <row r="6" spans="1:16">
      <c r="F6">
        <v>1005</v>
      </c>
      <c r="G6" t="s">
        <v>44</v>
      </c>
      <c r="H6" t="s">
        <v>45</v>
      </c>
      <c r="I6" t="s">
        <v>20</v>
      </c>
      <c r="J6">
        <v>32</v>
      </c>
      <c r="K6" t="s">
        <v>15</v>
      </c>
      <c r="L6" t="s">
        <v>46</v>
      </c>
      <c r="M6">
        <v>50000</v>
      </c>
      <c r="N6" s="2" t="s">
        <v>47</v>
      </c>
      <c r="O6" s="1" t="s">
        <v>48</v>
      </c>
      <c r="P6" s="2" t="s">
        <v>49</v>
      </c>
    </row>
    <row r="7" spans="1:16">
      <c r="F7">
        <v>1006</v>
      </c>
      <c r="G7" t="s">
        <v>50</v>
      </c>
      <c r="H7" t="s">
        <v>51</v>
      </c>
      <c r="I7" t="s">
        <v>52</v>
      </c>
      <c r="J7">
        <v>35</v>
      </c>
      <c r="K7" t="s">
        <v>15</v>
      </c>
      <c r="L7" t="s">
        <v>53</v>
      </c>
      <c r="M7">
        <v>65000</v>
      </c>
      <c r="N7" s="2" t="s">
        <v>47</v>
      </c>
      <c r="O7" s="1" t="s">
        <v>54</v>
      </c>
      <c r="P7" s="2" t="s">
        <v>55</v>
      </c>
    </row>
    <row r="8" spans="1:16">
      <c r="F8">
        <v>1007</v>
      </c>
      <c r="G8" t="s">
        <v>34</v>
      </c>
      <c r="H8" t="s">
        <v>56</v>
      </c>
      <c r="I8" t="s">
        <v>57</v>
      </c>
      <c r="J8">
        <v>32</v>
      </c>
      <c r="K8" t="s">
        <v>38</v>
      </c>
      <c r="L8" t="s">
        <v>58</v>
      </c>
      <c r="M8">
        <v>41000</v>
      </c>
      <c r="N8" s="2" t="s">
        <v>59</v>
      </c>
      <c r="O8" s="1" t="s">
        <v>54</v>
      </c>
      <c r="P8" s="2" t="s">
        <v>60</v>
      </c>
    </row>
    <row r="9" spans="1:16">
      <c r="F9">
        <v>1008</v>
      </c>
      <c r="G9" t="s">
        <v>61</v>
      </c>
      <c r="H9" t="s">
        <v>62</v>
      </c>
      <c r="I9" t="s">
        <v>63</v>
      </c>
      <c r="J9">
        <v>38</v>
      </c>
      <c r="K9" t="s">
        <v>15</v>
      </c>
      <c r="L9" t="s">
        <v>16</v>
      </c>
      <c r="M9">
        <v>48000</v>
      </c>
      <c r="N9" s="2" t="s">
        <v>64</v>
      </c>
      <c r="O9" s="1" t="s">
        <v>65</v>
      </c>
      <c r="P9" s="2" t="s">
        <v>66</v>
      </c>
    </row>
    <row r="10" spans="1:16">
      <c r="F10">
        <v>1009</v>
      </c>
      <c r="G10" t="s">
        <v>67</v>
      </c>
      <c r="H10" t="s">
        <v>68</v>
      </c>
      <c r="I10" t="s">
        <v>69</v>
      </c>
      <c r="J10">
        <v>31</v>
      </c>
      <c r="K10" t="s">
        <v>15</v>
      </c>
      <c r="L10" t="s">
        <v>39</v>
      </c>
      <c r="M10">
        <v>42000</v>
      </c>
      <c r="N10" s="2" t="s">
        <v>70</v>
      </c>
      <c r="O10" s="1" t="s">
        <v>65</v>
      </c>
      <c r="P10" s="2" t="s">
        <v>71</v>
      </c>
    </row>
    <row r="22" spans="9:9">
      <c r="I22" t="str">
        <f t="shared" ref="I22:I23" si="0">CONCATENATE(G12," ",H12)</f>
        <v xml:space="preserve"> </v>
      </c>
    </row>
    <row r="23" spans="9:9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G11" sqref="G11"/>
    </sheetView>
  </sheetViews>
  <sheetFormatPr defaultColWidth="10.140625" defaultRowHeight="14.45"/>
  <cols>
    <col min="7" max="7" width="12.140625" bestFit="1" customWidth="1"/>
  </cols>
  <sheetData>
    <row r="1" spans="1:19">
      <c r="B1" t="s">
        <v>80</v>
      </c>
      <c r="H1" t="s">
        <v>81</v>
      </c>
      <c r="I1" t="s">
        <v>80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</row>
    <row r="2" spans="1:19">
      <c r="A2" t="s">
        <v>92</v>
      </c>
      <c r="B2">
        <f>_xlfn.XLOOKUP(I1,H1:S1,H2:S2)</f>
        <v>310</v>
      </c>
      <c r="G2" t="s">
        <v>92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93</v>
      </c>
      <c r="B3">
        <f t="shared" ref="B3:B4" si="0">_xlfn.XLOOKUP(I2,H2:S2,H3:S3)</f>
        <v>40</v>
      </c>
      <c r="G3" t="s">
        <v>93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94</v>
      </c>
      <c r="B4">
        <f t="shared" si="0"/>
        <v>118</v>
      </c>
      <c r="G4" t="s">
        <v>94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8"/>
  <sheetViews>
    <sheetView workbookViewId="0">
      <selection activeCell="G6" sqref="G6"/>
    </sheetView>
  </sheetViews>
  <sheetFormatPr defaultColWidth="10.140625" defaultRowHeight="14.45"/>
  <cols>
    <col min="7" max="7" width="12.140625" bestFit="1" customWidth="1"/>
  </cols>
  <sheetData>
    <row r="1" spans="1:19">
      <c r="B1" t="s">
        <v>80</v>
      </c>
      <c r="H1" t="s">
        <v>81</v>
      </c>
      <c r="I1" t="s">
        <v>80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</row>
    <row r="2" spans="1:19">
      <c r="A2" t="s">
        <v>92</v>
      </c>
      <c r="G2" t="s">
        <v>92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93</v>
      </c>
      <c r="G3" t="s">
        <v>93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94</v>
      </c>
      <c r="G4" t="s">
        <v>94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>
      <c r="B6" t="s">
        <v>95</v>
      </c>
    </row>
    <row r="7" spans="1:19">
      <c r="A7" t="s">
        <v>92</v>
      </c>
      <c r="B7">
        <f ca="1">SUM(_xlfn.XLOOKUP(I1,H1:S1,H2:S2):_xlfn.XLOOKUP(J1,H1:S1,H2:S2))</f>
        <v>460</v>
      </c>
    </row>
    <row r="8" spans="1:19">
      <c r="A8" t="s">
        <v>93</v>
      </c>
      <c r="B8">
        <f ca="1">SUM(_xlfn.XLOOKUP(I2,H2:S2,H3:S3):_xlfn.XLOOKUP(J2,H2:S2,H3:S3))</f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C10" sqref="C10"/>
    </sheetView>
  </sheetViews>
  <sheetFormatPr defaultRowHeight="14.45"/>
  <cols>
    <col min="1" max="1" width="14.42578125" customWidth="1"/>
  </cols>
  <sheetData>
    <row r="1" spans="1:16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5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30</v>
      </c>
      <c r="E3">
        <v>1002</v>
      </c>
      <c r="F3" t="s">
        <v>72</v>
      </c>
      <c r="G3" t="s">
        <v>73</v>
      </c>
      <c r="H3" t="s">
        <v>74</v>
      </c>
      <c r="I3">
        <v>30</v>
      </c>
      <c r="J3" t="s">
        <v>38</v>
      </c>
      <c r="L3" t="s">
        <v>24</v>
      </c>
      <c r="M3">
        <v>36000</v>
      </c>
      <c r="N3" s="1" t="s">
        <v>25</v>
      </c>
      <c r="O3" s="1" t="s">
        <v>26</v>
      </c>
      <c r="P3" s="2" t="s">
        <v>75</v>
      </c>
    </row>
    <row r="4" spans="1:16">
      <c r="A4" t="s">
        <v>52</v>
      </c>
      <c r="E4">
        <v>1003</v>
      </c>
      <c r="F4" t="s">
        <v>28</v>
      </c>
      <c r="G4" t="s">
        <v>29</v>
      </c>
      <c r="H4" t="s">
        <v>30</v>
      </c>
      <c r="I4">
        <v>29</v>
      </c>
      <c r="J4" t="s">
        <v>15</v>
      </c>
      <c r="L4" t="s">
        <v>16</v>
      </c>
      <c r="M4">
        <v>63000</v>
      </c>
      <c r="N4" s="1" t="s">
        <v>31</v>
      </c>
      <c r="O4" s="1" t="s">
        <v>32</v>
      </c>
      <c r="P4" s="2" t="s">
        <v>33</v>
      </c>
    </row>
    <row r="5" spans="1:16">
      <c r="A5" t="s">
        <v>63</v>
      </c>
      <c r="E5">
        <v>1004</v>
      </c>
      <c r="F5" t="s">
        <v>35</v>
      </c>
      <c r="G5" t="s">
        <v>36</v>
      </c>
      <c r="H5" t="s">
        <v>37</v>
      </c>
      <c r="I5">
        <v>31</v>
      </c>
      <c r="J5" t="s">
        <v>38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E6">
        <v>1005</v>
      </c>
      <c r="F6" t="s">
        <v>44</v>
      </c>
      <c r="G6" t="s">
        <v>45</v>
      </c>
      <c r="H6" t="s">
        <v>20</v>
      </c>
      <c r="I6">
        <v>32</v>
      </c>
      <c r="J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E7">
        <v>1006</v>
      </c>
      <c r="F7" t="s">
        <v>50</v>
      </c>
      <c r="G7" t="s">
        <v>51</v>
      </c>
      <c r="H7" t="s">
        <v>52</v>
      </c>
      <c r="I7">
        <v>35</v>
      </c>
      <c r="J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E8">
        <v>1007</v>
      </c>
      <c r="F8" t="s">
        <v>34</v>
      </c>
      <c r="G8" t="s">
        <v>56</v>
      </c>
      <c r="H8" t="s">
        <v>57</v>
      </c>
      <c r="I8">
        <v>32</v>
      </c>
      <c r="J8" t="s">
        <v>38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E9">
        <v>1008</v>
      </c>
      <c r="F9" t="s">
        <v>61</v>
      </c>
      <c r="G9" t="s">
        <v>62</v>
      </c>
      <c r="H9" t="s">
        <v>63</v>
      </c>
      <c r="I9">
        <v>38</v>
      </c>
      <c r="J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E10">
        <v>1009</v>
      </c>
      <c r="F10" t="s">
        <v>67</v>
      </c>
      <c r="G10" t="s">
        <v>68</v>
      </c>
      <c r="H10" t="s">
        <v>69</v>
      </c>
      <c r="I10">
        <v>31</v>
      </c>
      <c r="J10" t="s">
        <v>15</v>
      </c>
      <c r="L10" t="s">
        <v>39</v>
      </c>
      <c r="M10">
        <v>42000</v>
      </c>
      <c r="N10" s="1" t="s">
        <v>70</v>
      </c>
      <c r="O10" s="1" t="s">
        <v>65</v>
      </c>
      <c r="P10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/>
  <cp:revision/>
  <dcterms:created xsi:type="dcterms:W3CDTF">2021-12-20T02:45:32Z</dcterms:created>
  <dcterms:modified xsi:type="dcterms:W3CDTF">2026-09-25T12:19:50Z</dcterms:modified>
  <cp:category/>
  <cp:contentStatus/>
</cp:coreProperties>
</file>