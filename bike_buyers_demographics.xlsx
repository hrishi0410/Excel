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/>
  <xr:revisionPtr revIDLastSave="0" documentId="8_{6753A11B-DEA7-4827-9AB3-286586FA0752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Demographics" sheetId="1" r:id="rId1"/>
    <sheet name="Working Sheet" sheetId="2" r:id="rId2"/>
    <sheet name="Pivot Tables" sheetId="5" r:id="rId3"/>
    <sheet name="Dashboard" sheetId="3" r:id="rId4"/>
  </sheets>
  <definedNames>
    <definedName name="_xlnm._FilterDatabase" localSheetId="0" hidden="1">Demographics!$A$1:$M$211</definedName>
    <definedName name="_xlnm._FilterDatabase" localSheetId="1" hidden="1">'Working Sheet'!$A$1:$N$211</definedName>
    <definedName name="Slicer_Education">#N/A</definedName>
    <definedName name="Slicer_Gender">#N/A</definedName>
    <definedName name="Slicer_Marital_Status">#N/A</definedName>
    <definedName name="Slicer_Occupation">#N/A</definedName>
  </definedNames>
  <calcPr calcId="191028"/>
  <pivotCaches>
    <pivotCache cacheId="18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" i="2"/>
</calcChain>
</file>

<file path=xl/sharedStrings.xml><?xml version="1.0" encoding="utf-8"?>
<sst xmlns="http://schemas.openxmlformats.org/spreadsheetml/2006/main" count="3426" uniqueCount="51">
  <si>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</si>
  <si>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</si>
  <si>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</si>
  <si>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</si>
  <si>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</si>
  <si>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</si>
  <si>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</si>
  <si>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</si>
  <si>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</si>
  <si>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</si>
  <si>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</si>
  <si>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</si>
  <si>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</si>
  <si>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</si>
  <si>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</si>
  <si>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</si>
  <si>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</si>
  <si>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</si>
  <si>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</si>
  <si>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</si>
  <si>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</si>
  <si>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</si>
  <si>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</si>
  <si>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</si>
  <si>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</si>
  <si>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</si>
  <si>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</si>
  <si>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</si>
  <si>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</si>
  <si>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</si>
  <si>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</si>
  <si>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</si>
  <si>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</t>
  </si>
  <si>
    <t>10+ Miles</t>
  </si>
  <si>
    <t>Graduate Degree</t>
  </si>
  <si>
    <t>North America</t>
  </si>
  <si>
    <t>Partial High Sch</t>
  </si>
  <si>
    <t>Age Bracket</t>
  </si>
  <si>
    <t>Married</t>
  </si>
  <si>
    <t>Female</t>
  </si>
  <si>
    <t>Male</t>
  </si>
  <si>
    <t>Single</t>
  </si>
  <si>
    <t>Partial High School</t>
  </si>
  <si>
    <t>More than 10 Miles</t>
  </si>
  <si>
    <t>Average of Income</t>
  </si>
  <si>
    <t>Grand Total</t>
  </si>
  <si>
    <t>Count of Purchased Bike</t>
  </si>
  <si>
    <t>Adults</t>
  </si>
  <si>
    <t>Old</t>
  </si>
  <si>
    <t>Young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</si>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</sst>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32"/>
      <color theme="1"/>
      <name val="Calibri"/>
      <family val="2"/>
      <scheme val="minor"/>
    </font>
    <font>
      <b/>
      <sz val="32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1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numFmt numFmtId="165" formatCode="_(* #,##0_);_(* \(#,##0\);_(* &quot;-&quot;??_);_(@_)"/>
    </dxf>
  </dxfs>
  <tableStyles count="0" defaultTableStyle="TableStyleMedium9" defaultPivotStyle="PivotStyleLight16"/>
  <colors>
    <mruColors>
      <color rgb="FFD4D435"/>
      <color rgb="FFEB3F3F"/>
      <color rgb="FF82F05D"/>
      <color rgb="FFF24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[bike_buyers_demographics.xlsx]Pivot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504D"/>
          </a:solidFill>
          <a:ln w="25400"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  <a:effectLst/>
          </c:spPr>
          <c:invertIfNegative val="0"/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_(* #,##0_);_(* \(#,##0\);_(* "-"??_);_(@_)</c:formatCode>
                <c:ptCount val="2"/>
                <c:pt idx="0">
                  <c:v>70980.392156862741</c:v>
                </c:pt>
                <c:pt idx="1">
                  <c:v>72758.620689655174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0-4C6A-97A8-4D74CCCD758D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 w="25400">
              <a:noFill/>
            </a:ln>
            <a:effectLst/>
          </c:spPr>
          <c:invertIfNegative val="0"/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_(* #,##0_);_(* \(#,##0\);_(* "-"??_);_(@_)</c:formatCode>
                <c:ptCount val="2"/>
                <c:pt idx="0">
                  <c:v>58421.052631578947</c:v>
                </c:pt>
                <c:pt idx="1">
                  <c:v>60909.090909090912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E-4EC9-8320-F55EF308C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010439"/>
        <c:axId val="1789012999"/>
      </c:barChart>
      <c:catAx>
        <c:axId val="1789010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12999"/>
        <c:crosses val="autoZero"/>
        <c:auto val="1"/>
        <c:lblAlgn val="ctr"/>
        <c:lblOffset val="100"/>
        <c:noMultiLvlLbl val="0"/>
      </c:catAx>
      <c:valAx>
        <c:axId val="178901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10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[bike_buyers_demographics.xlsx]Pivot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by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Tables'!$B$19:$B$24</c:f>
              <c:numCache>
                <c:formatCode>General</c:formatCode>
                <c:ptCount val="5"/>
                <c:pt idx="0">
                  <c:v>27</c:v>
                </c:pt>
                <c:pt idx="1">
                  <c:v>22</c:v>
                </c:pt>
                <c:pt idx="2">
                  <c:v>18</c:v>
                </c:pt>
                <c:pt idx="3">
                  <c:v>22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9-429C-8BFE-9C1C1A3DDA05}"/>
            </c:ext>
          </c:extLst>
        </c:ser>
        <c:ser>
          <c:idx val="1"/>
          <c:order val="1"/>
          <c:tx>
            <c:strRef>
              <c:f>'Pivot Tables'!$C$17:$C$18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Tables'!$C$19:$C$24</c:f>
              <c:numCache>
                <c:formatCode>General</c:formatCode>
                <c:ptCount val="5"/>
                <c:pt idx="0">
                  <c:v>24</c:v>
                </c:pt>
                <c:pt idx="1">
                  <c:v>28</c:v>
                </c:pt>
                <c:pt idx="2">
                  <c:v>18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19-429C-8BFE-9C1C1A3DD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895303"/>
        <c:axId val="1547897863"/>
      </c:lineChart>
      <c:catAx>
        <c:axId val="1547895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Commute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97863"/>
        <c:crosses val="autoZero"/>
        <c:auto val="1"/>
        <c:lblAlgn val="ctr"/>
        <c:lblOffset val="100"/>
        <c:noMultiLvlLbl val="0"/>
      </c:catAx>
      <c:valAx>
        <c:axId val="154789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9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[bike_buyers_demographics.xlsx]Pivot Tables!PivotTable4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2700" cap="flat" cmpd="sng" algn="ctr">
            <a:solidFill>
              <a:srgbClr val="494529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"/>
        <c:spPr>
          <a:ln w="1270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1270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12700" cap="flat" cmpd="sng" algn="ctr">
              <a:solidFill>
                <a:srgbClr val="494529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2700" cap="flat" cmpd="sng" algn="ctr">
                <a:solidFill>
                  <a:srgbClr val="80808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2161-4F78-8412-FF8666AA72B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2700" cap="flat" cmpd="sng" algn="ctr">
                <a:solidFill>
                  <a:srgbClr val="80808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61-4F78-8412-FF8666AA72B3}"/>
              </c:ext>
            </c:extLst>
          </c:dPt>
          <c:cat>
            <c:strRef>
              <c:f>'Pivot Tables'!$A$31:$A$34</c:f>
              <c:strCache>
                <c:ptCount val="3"/>
                <c:pt idx="0">
                  <c:v>Adults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Tables'!$B$31:$B$34</c:f>
              <c:numCache>
                <c:formatCode>General</c:formatCode>
                <c:ptCount val="3"/>
                <c:pt idx="0">
                  <c:v>78</c:v>
                </c:pt>
                <c:pt idx="1">
                  <c:v>22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D-41F6-8468-EC04E0BE7AC4}"/>
            </c:ext>
          </c:extLst>
        </c:ser>
        <c:ser>
          <c:idx val="1"/>
          <c:order val="1"/>
          <c:tx>
            <c:strRef>
              <c:f>'Pivot Tables'!$C$29:$C$30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7FAF-47FE-A0A8-9C87CD03BD8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61-4F78-8412-FF8666AA72B3}"/>
              </c:ext>
            </c:extLst>
          </c:dPt>
          <c:cat>
            <c:strRef>
              <c:f>'Pivot Tables'!$A$31:$A$34</c:f>
              <c:strCache>
                <c:ptCount val="3"/>
                <c:pt idx="0">
                  <c:v>Adults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'Pivot Tables'!$C$31:$C$34</c:f>
              <c:numCache>
                <c:formatCode>General</c:formatCode>
                <c:ptCount val="3"/>
                <c:pt idx="0">
                  <c:v>70</c:v>
                </c:pt>
                <c:pt idx="1">
                  <c:v>26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D-41F6-8468-EC04E0BE7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293127"/>
        <c:axId val="1748295175"/>
      </c:lineChart>
      <c:catAx>
        <c:axId val="1748293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295175"/>
        <c:crosses val="autoZero"/>
        <c:auto val="1"/>
        <c:lblAlgn val="ctr"/>
        <c:lblOffset val="100"/>
        <c:noMultiLvlLbl val="0"/>
      </c:catAx>
      <c:valAx>
        <c:axId val="174829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29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[bike_buyers_demographics.xlsx]Pivot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38D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24E4E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538DD5"/>
            </a:solidFill>
            <a:ln>
              <a:noFill/>
            </a:ln>
            <a:effectLst/>
          </c:spPr>
          <c:invertIfNegative val="0"/>
          <c:cat>
            <c:strRef>
              <c:f>'Pivot Tables'!$A$43:$A$84</c:f>
              <c:strCache>
                <c:ptCount val="4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</c:strCache>
            </c:strRef>
          </c:cat>
          <c:val>
            <c:numRef>
              <c:f>'Pivot Tables'!$B$43:$B$84</c:f>
              <c:numCache>
                <c:formatCode>General</c:formatCode>
                <c:ptCount val="41"/>
                <c:pt idx="0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8</c:v>
                </c:pt>
                <c:pt idx="24">
                  <c:v>1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5</c:v>
                </c:pt>
                <c:pt idx="31">
                  <c:v>1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F-4236-955A-8A1E0DB1A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4317959"/>
        <c:axId val="1718308871"/>
      </c:barChart>
      <c:lineChart>
        <c:grouping val="standard"/>
        <c:varyColors val="0"/>
        <c:ser>
          <c:idx val="1"/>
          <c:order val="1"/>
          <c:tx>
            <c:strRef>
              <c:f>'Pivot Tables'!$C$41:$C$42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24E4E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Tables'!$A$43:$A$84</c:f>
              <c:strCache>
                <c:ptCount val="4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</c:strCache>
            </c:strRef>
          </c:cat>
          <c:val>
            <c:numRef>
              <c:f>'Pivot Tables'!$C$43:$C$84</c:f>
              <c:numCache>
                <c:formatCode>General</c:formatCode>
                <c:ptCount val="4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1</c:v>
                </c:pt>
                <c:pt idx="20">
                  <c:v>6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5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6">
                  <c:v>1</c:v>
                </c:pt>
                <c:pt idx="37">
                  <c:v>4</c:v>
                </c:pt>
                <c:pt idx="38">
                  <c:v>4</c:v>
                </c:pt>
                <c:pt idx="39">
                  <c:v>2</c:v>
                </c:pt>
                <c:pt idx="4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DF-4236-955A-8A1E0DB1A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17959"/>
        <c:axId val="1718308871"/>
      </c:lineChart>
      <c:catAx>
        <c:axId val="1544317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308871"/>
        <c:crosses val="autoZero"/>
        <c:auto val="1"/>
        <c:lblAlgn val="ctr"/>
        <c:lblOffset val="100"/>
        <c:noMultiLvlLbl val="0"/>
      </c:catAx>
      <c:valAx>
        <c:axId val="171830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1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[bike_buyers_demographics.xlsx]Pivot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 w="25400"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25400"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504D"/>
          </a:solidFill>
          <a:ln w="25400">
            <a:noFill/>
          </a:ln>
          <a:effectLst/>
        </c:spPr>
      </c:pivotFmt>
      <c:pivotFmt>
        <c:idx val="3"/>
        <c:spPr>
          <a:solidFill>
            <a:srgbClr val="C0504D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504D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504D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504D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  <a:effectLst/>
          </c:spPr>
          <c:invertIfNegative val="0"/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_(* #,##0_);_(* \(#,##0\);_(* "-"??_);_(@_)</c:formatCode>
                <c:ptCount val="2"/>
                <c:pt idx="0">
                  <c:v>70980.392156862741</c:v>
                </c:pt>
                <c:pt idx="1">
                  <c:v>72758.620689655174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F-4DAE-852F-8B07136DECC0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 w="25400">
              <a:noFill/>
            </a:ln>
            <a:effectLst/>
          </c:spPr>
          <c:invertIfNegative val="0"/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_(* #,##0_);_(* \(#,##0\);_(* "-"??_);_(@_)</c:formatCode>
                <c:ptCount val="2"/>
                <c:pt idx="0">
                  <c:v>58421.052631578947</c:v>
                </c:pt>
                <c:pt idx="1">
                  <c:v>60909.090909090912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E-4E2B-8EBA-9E8B3C947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010439"/>
        <c:axId val="1789012999"/>
      </c:barChart>
      <c:catAx>
        <c:axId val="1789010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12999"/>
        <c:crosses val="autoZero"/>
        <c:auto val="1"/>
        <c:lblAlgn val="ctr"/>
        <c:lblOffset val="100"/>
        <c:noMultiLvlLbl val="0"/>
      </c:catAx>
      <c:valAx>
        <c:axId val="178901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10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[bike_buyers_demographics.xlsx]Pivot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by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Tables'!$B$19:$B$24</c:f>
              <c:numCache>
                <c:formatCode>General</c:formatCode>
                <c:ptCount val="5"/>
                <c:pt idx="0">
                  <c:v>27</c:v>
                </c:pt>
                <c:pt idx="1">
                  <c:v>22</c:v>
                </c:pt>
                <c:pt idx="2">
                  <c:v>18</c:v>
                </c:pt>
                <c:pt idx="3">
                  <c:v>22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1-460A-A265-727872C563CA}"/>
            </c:ext>
          </c:extLst>
        </c:ser>
        <c:ser>
          <c:idx val="1"/>
          <c:order val="1"/>
          <c:tx>
            <c:strRef>
              <c:f>'Pivot Tables'!$C$17:$C$18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Tables'!$C$19:$C$24</c:f>
              <c:numCache>
                <c:formatCode>General</c:formatCode>
                <c:ptCount val="5"/>
                <c:pt idx="0">
                  <c:v>24</c:v>
                </c:pt>
                <c:pt idx="1">
                  <c:v>28</c:v>
                </c:pt>
                <c:pt idx="2">
                  <c:v>18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1-460A-A265-727872C56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895303"/>
        <c:axId val="1547897863"/>
      </c:lineChart>
      <c:catAx>
        <c:axId val="1547895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Commute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97863"/>
        <c:crosses val="autoZero"/>
        <c:auto val="1"/>
        <c:lblAlgn val="ctr"/>
        <c:lblOffset val="100"/>
        <c:noMultiLvlLbl val="0"/>
      </c:catAx>
      <c:valAx>
        <c:axId val="154789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9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[bike_buyers_demographics.xlsx]Pivot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38D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24E4E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38D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24E4E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38D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24E4E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38D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24E4E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38D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24E4E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538DD5"/>
            </a:solidFill>
            <a:ln>
              <a:noFill/>
            </a:ln>
            <a:effectLst/>
          </c:spPr>
          <c:invertIfNegative val="0"/>
          <c:cat>
            <c:strRef>
              <c:f>'Pivot Tables'!$A$43:$A$84</c:f>
              <c:strCache>
                <c:ptCount val="4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</c:strCache>
            </c:strRef>
          </c:cat>
          <c:val>
            <c:numRef>
              <c:f>'Pivot Tables'!$B$43:$B$84</c:f>
              <c:numCache>
                <c:formatCode>General</c:formatCode>
                <c:ptCount val="41"/>
                <c:pt idx="0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8</c:v>
                </c:pt>
                <c:pt idx="24">
                  <c:v>1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5</c:v>
                </c:pt>
                <c:pt idx="31">
                  <c:v>1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C-40EE-AC87-63D9619CF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4317959"/>
        <c:axId val="1718308871"/>
      </c:barChart>
      <c:lineChart>
        <c:grouping val="standard"/>
        <c:varyColors val="0"/>
        <c:ser>
          <c:idx val="1"/>
          <c:order val="1"/>
          <c:tx>
            <c:strRef>
              <c:f>'Pivot Tables'!$C$41:$C$42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24E4E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Tables'!$A$43:$A$84</c:f>
              <c:strCache>
                <c:ptCount val="4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</c:strCache>
            </c:strRef>
          </c:cat>
          <c:val>
            <c:numRef>
              <c:f>'Pivot Tables'!$C$43:$C$84</c:f>
              <c:numCache>
                <c:formatCode>General</c:formatCode>
                <c:ptCount val="4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1</c:v>
                </c:pt>
                <c:pt idx="20">
                  <c:v>6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5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6">
                  <c:v>1</c:v>
                </c:pt>
                <c:pt idx="37">
                  <c:v>4</c:v>
                </c:pt>
                <c:pt idx="38">
                  <c:v>4</c:v>
                </c:pt>
                <c:pt idx="39">
                  <c:v>2</c:v>
                </c:pt>
                <c:pt idx="4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C-40EE-AC87-63D9619CF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17959"/>
        <c:axId val="1718308871"/>
      </c:lineChart>
      <c:catAx>
        <c:axId val="1544317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308871"/>
        <c:crosses val="autoZero"/>
        <c:auto val="1"/>
        <c:lblAlgn val="ctr"/>
        <c:lblOffset val="100"/>
        <c:noMultiLvlLbl val="0"/>
      </c:catAx>
      <c:valAx>
        <c:axId val="171830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Purchased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1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76200</xdr:rowOff>
    </xdr:from>
    <xdr:to>
      <xdr:col>11</xdr:col>
      <xdr:colOff>371475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41E2B-A1B0-226F-3463-4C521D744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238125</xdr:colOff>
      <xdr:row>13</xdr:row>
      <xdr:rowOff>123825</xdr:rowOff>
    </xdr:from>
    <xdr:to>
      <xdr:col>11</xdr:col>
      <xdr:colOff>19050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615838-257E-025C-D67F-0532B57DB010}"/>
            </a:ext>
            <a:ext uri="{147F2762-F138-4A5C-976F-8EAC2B608ADB}">
              <a16:predDERef xmlns:a16="http://schemas.microsoft.com/office/drawing/2014/main" pred="{D0D41E2B-A1B0-226F-3463-4C521D744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266700</xdr:colOff>
      <xdr:row>26</xdr:row>
      <xdr:rowOff>123825</xdr:rowOff>
    </xdr:from>
    <xdr:to>
      <xdr:col>10</xdr:col>
      <xdr:colOff>476250</xdr:colOff>
      <xdr:row>38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BCBDFB-4586-53B7-085B-960A17761BA6}"/>
            </a:ext>
            <a:ext uri="{147F2762-F138-4A5C-976F-8EAC2B608ADB}">
              <a16:predDERef xmlns:a16="http://schemas.microsoft.com/office/drawing/2014/main" pred="{E0615838-257E-025C-D67F-0532B57DB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266700</xdr:colOff>
      <xdr:row>40</xdr:row>
      <xdr:rowOff>19050</xdr:rowOff>
    </xdr:from>
    <xdr:to>
      <xdr:col>12</xdr:col>
      <xdr:colOff>238125</xdr:colOff>
      <xdr:row>54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9E464F-4578-E4D9-15CD-FC5EB734E14B}"/>
            </a:ext>
            <a:ext uri="{147F2762-F138-4A5C-976F-8EAC2B608ADB}">
              <a16:predDERef xmlns:a16="http://schemas.microsoft.com/office/drawing/2014/main" pred="{31BCBDFB-4586-53B7-085B-960A17761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485775</xdr:colOff>
      <xdr:row>0</xdr:row>
      <xdr:rowOff>0</xdr:rowOff>
    </xdr:from>
    <xdr:to>
      <xdr:col>16</xdr:col>
      <xdr:colOff>257175</xdr:colOff>
      <xdr:row>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2E747C52-5A47-94FA-4813-885E762EA022}"/>
                </a:ext>
                <a:ext uri="{147F2762-F138-4A5C-976F-8EAC2B608ADB}">
                  <a16:predDERef xmlns:a16="http://schemas.microsoft.com/office/drawing/2014/main" pred="{9C9E464F-4578-E4D9-15CD-FC5EB734E1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0"/>
              <a:ext cx="182880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3</xdr:row>
      <xdr:rowOff>180975</xdr:rowOff>
    </xdr:from>
    <xdr:to>
      <xdr:col>9</xdr:col>
      <xdr:colOff>104775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5FA29-7100-4AFE-927B-A0A904119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</xdr:row>
      <xdr:rowOff>180975</xdr:rowOff>
    </xdr:from>
    <xdr:to>
      <xdr:col>14</xdr:col>
      <xdr:colOff>600075</xdr:colOff>
      <xdr:row>13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1A136-71B4-4E59-A71C-8B314EF47065}"/>
            </a:ext>
            <a:ext uri="{147F2762-F138-4A5C-976F-8EAC2B608ADB}">
              <a16:predDERef xmlns:a16="http://schemas.microsoft.com/office/drawing/2014/main" pred="{84A5FA29-7100-4AFE-927B-A0A904119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438150</xdr:colOff>
      <xdr:row>12</xdr:row>
      <xdr:rowOff>171450</xdr:rowOff>
    </xdr:from>
    <xdr:to>
      <xdr:col>15</xdr:col>
      <xdr:colOff>28575</xdr:colOff>
      <xdr:row>22</xdr:row>
      <xdr:rowOff>180975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36A025E9-42E6-4B12-B876-638F03A86E0A}"/>
            </a:ext>
            <a:ext uri="{147F2762-F138-4A5C-976F-8EAC2B608ADB}">
              <a16:predDERef xmlns:a16="http://schemas.microsoft.com/office/drawing/2014/main" pred="{C731A136-71B4-4E59-A71C-8B314EF47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</xdr:row>
      <xdr:rowOff>171450</xdr:rowOff>
    </xdr:from>
    <xdr:to>
      <xdr:col>3</xdr:col>
      <xdr:colOff>428625</xdr:colOff>
      <xdr:row>5</xdr:row>
      <xdr:rowOff>190500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arital Status">
              <a:extLst>
                <a:ext uri="{FF2B5EF4-FFF2-40B4-BE49-F238E27FC236}">
                  <a16:creationId xmlns:a16="http://schemas.microsoft.com/office/drawing/2014/main" id="{0F208943-3F99-FF9C-94B1-5AC02617CC6D}"/>
                </a:ext>
                <a:ext uri="{147F2762-F138-4A5C-976F-8EAC2B608ADB}">
                  <a16:predDERef xmlns:a16="http://schemas.microsoft.com/office/drawing/2014/main" pred="{36A025E9-42E6-4B12-B876-638F03A86E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42950"/>
              <a:ext cx="2257425" cy="74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28575</xdr:rowOff>
    </xdr:from>
    <xdr:to>
      <xdr:col>3</xdr:col>
      <xdr:colOff>428625</xdr:colOff>
      <xdr:row>15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ducation">
              <a:extLst>
                <a:ext uri="{FF2B5EF4-FFF2-40B4-BE49-F238E27FC236}">
                  <a16:creationId xmlns:a16="http://schemas.microsoft.com/office/drawing/2014/main" id="{BCE3313F-739C-76A7-D0AD-371333BD7763}"/>
                </a:ext>
                <a:ext uri="{147F2762-F138-4A5C-976F-8EAC2B608ADB}">
                  <a16:predDERef xmlns:a16="http://schemas.microsoft.com/office/drawing/2014/main" pred="{0F208943-3F99-FF9C-94B1-5AC02617CC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38375"/>
              <a:ext cx="2257425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</xdr:row>
      <xdr:rowOff>190500</xdr:rowOff>
    </xdr:from>
    <xdr:to>
      <xdr:col>3</xdr:col>
      <xdr:colOff>428625</xdr:colOff>
      <xdr:row>8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Gender 1">
              <a:extLst>
                <a:ext uri="{FF2B5EF4-FFF2-40B4-BE49-F238E27FC236}">
                  <a16:creationId xmlns:a16="http://schemas.microsoft.com/office/drawing/2014/main" id="{7EBE942D-1997-41C1-57A0-4A56BE86F820}"/>
                </a:ext>
                <a:ext uri="{147F2762-F138-4A5C-976F-8EAC2B608ADB}">
                  <a16:predDERef xmlns:a16="http://schemas.microsoft.com/office/drawing/2014/main" pred="{BCE3313F-739C-76A7-D0AD-371333BD77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85900"/>
              <a:ext cx="2257425" cy="781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76200</xdr:rowOff>
    </xdr:from>
    <xdr:to>
      <xdr:col>3</xdr:col>
      <xdr:colOff>428625</xdr:colOff>
      <xdr:row>22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Occupation">
              <a:extLst>
                <a:ext uri="{FF2B5EF4-FFF2-40B4-BE49-F238E27FC236}">
                  <a16:creationId xmlns:a16="http://schemas.microsoft.com/office/drawing/2014/main" id="{5E62152A-3E50-8E4A-2BB0-113DED63B261}"/>
                </a:ext>
                <a:ext uri="{147F2762-F138-4A5C-976F-8EAC2B608ADB}">
                  <a16:predDERef xmlns:a16="http://schemas.microsoft.com/office/drawing/2014/main" pred="{7EBE942D-1997-41C1-57A0-4A56BE86F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19500"/>
              <a:ext cx="2257425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3.751915277775" createdVersion="8" refreshedVersion="8" minRefreshableVersion="3" recordCount="210" xr:uid="{4344EABA-853D-4C21-9DD5-5F184B8213A6}">
  <cacheSource type="worksheet">
    <worksheetSource ref="A1:N211" sheet="Working Sheet"/>
  </cacheSource>
  <cacheFields count="14">
    <cacheField name="ID" numFmtId="0">
      <sharedItems containsSemiMixedTypes="0" containsString="0" containsNumber="1" containsInteger="1" minValue="10172" maxValue="29971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">
      <sharedItems containsSemiMixedTypes="0" containsString="0" containsNumber="1" containsInteger="1" minValue="10000" maxValue="170000" count="17">
        <n v="40000"/>
        <n v="30000"/>
        <n v="80000"/>
        <n v="70000"/>
        <n v="10000"/>
        <n v="160000"/>
        <n v="20000"/>
        <n v="120000"/>
        <n v="90000"/>
        <n v="170000"/>
        <n v="60000"/>
        <n v="110000"/>
        <n v="150000"/>
        <n v="140000"/>
        <n v="100000"/>
        <n v="50000"/>
        <n v="13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65" count="41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52"/>
        <n v="53"/>
        <n v="31"/>
        <n v="64"/>
        <n v="32"/>
        <n v="48"/>
        <n v="62"/>
        <n v="30"/>
        <n v="25"/>
        <n v="39"/>
        <n v="46"/>
        <n v="51"/>
        <n v="65"/>
        <n v="29"/>
        <n v="57"/>
        <n v="49"/>
        <n v="63"/>
        <n v="37"/>
        <n v="27"/>
        <n v="26"/>
        <n v="61"/>
        <n v="28"/>
        <n v="44"/>
      </sharedItems>
    </cacheField>
    <cacheField name="Age Bracket" numFmtId="0">
      <sharedItems count="3">
        <s v="Adults"/>
        <s v="Old"/>
        <s v="Young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37362571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12496"/>
    <x v="0"/>
    <x v="0"/>
    <x v="0"/>
    <n v="1"/>
    <x v="0"/>
    <x v="0"/>
    <s v="Yes"/>
    <n v="0"/>
    <x v="0"/>
    <s v="Europe"/>
    <x v="0"/>
    <x v="0"/>
    <x v="0"/>
  </r>
  <r>
    <n v="24107"/>
    <x v="0"/>
    <x v="1"/>
    <x v="1"/>
    <n v="3"/>
    <x v="1"/>
    <x v="1"/>
    <s v="Yes"/>
    <n v="1"/>
    <x v="0"/>
    <s v="Europe"/>
    <x v="1"/>
    <x v="0"/>
    <x v="0"/>
  </r>
  <r>
    <n v="14177"/>
    <x v="0"/>
    <x v="1"/>
    <x v="2"/>
    <n v="5"/>
    <x v="1"/>
    <x v="2"/>
    <s v="No"/>
    <n v="2"/>
    <x v="1"/>
    <s v="Europe"/>
    <x v="2"/>
    <x v="1"/>
    <x v="0"/>
  </r>
  <r>
    <n v="24381"/>
    <x v="1"/>
    <x v="1"/>
    <x v="3"/>
    <n v="0"/>
    <x v="0"/>
    <x v="2"/>
    <s v="Yes"/>
    <n v="1"/>
    <x v="2"/>
    <s v="Pacific"/>
    <x v="3"/>
    <x v="0"/>
    <x v="1"/>
  </r>
  <r>
    <n v="25597"/>
    <x v="1"/>
    <x v="1"/>
    <x v="1"/>
    <n v="0"/>
    <x v="0"/>
    <x v="1"/>
    <s v="No"/>
    <n v="0"/>
    <x v="0"/>
    <s v="Europe"/>
    <x v="4"/>
    <x v="0"/>
    <x v="1"/>
  </r>
  <r>
    <n v="13507"/>
    <x v="0"/>
    <x v="0"/>
    <x v="4"/>
    <n v="2"/>
    <x v="1"/>
    <x v="3"/>
    <s v="Yes"/>
    <n v="0"/>
    <x v="3"/>
    <s v="Europe"/>
    <x v="5"/>
    <x v="0"/>
    <x v="0"/>
  </r>
  <r>
    <n v="27974"/>
    <x v="1"/>
    <x v="1"/>
    <x v="5"/>
    <n v="2"/>
    <x v="2"/>
    <x v="4"/>
    <s v="Yes"/>
    <n v="4"/>
    <x v="0"/>
    <s v="Pacific"/>
    <x v="6"/>
    <x v="0"/>
    <x v="1"/>
  </r>
  <r>
    <n v="19364"/>
    <x v="0"/>
    <x v="1"/>
    <x v="0"/>
    <n v="1"/>
    <x v="0"/>
    <x v="0"/>
    <s v="Yes"/>
    <n v="0"/>
    <x v="0"/>
    <s v="Europe"/>
    <x v="1"/>
    <x v="0"/>
    <x v="1"/>
  </r>
  <r>
    <n v="22155"/>
    <x v="0"/>
    <x v="1"/>
    <x v="6"/>
    <n v="2"/>
    <x v="3"/>
    <x v="1"/>
    <s v="Yes"/>
    <n v="2"/>
    <x v="2"/>
    <s v="Pacific"/>
    <x v="7"/>
    <x v="1"/>
    <x v="0"/>
  </r>
  <r>
    <n v="19280"/>
    <x v="0"/>
    <x v="1"/>
    <x v="7"/>
    <n v="2"/>
    <x v="1"/>
    <x v="3"/>
    <s v="Yes"/>
    <n v="1"/>
    <x v="0"/>
    <s v="Europe"/>
    <x v="8"/>
    <x v="0"/>
    <x v="1"/>
  </r>
  <r>
    <n v="22173"/>
    <x v="0"/>
    <x v="0"/>
    <x v="1"/>
    <n v="3"/>
    <x v="2"/>
    <x v="0"/>
    <s v="No"/>
    <n v="2"/>
    <x v="3"/>
    <s v="Pacific"/>
    <x v="9"/>
    <x v="0"/>
    <x v="1"/>
  </r>
  <r>
    <n v="12697"/>
    <x v="1"/>
    <x v="0"/>
    <x v="8"/>
    <n v="0"/>
    <x v="0"/>
    <x v="2"/>
    <s v="No"/>
    <n v="4"/>
    <x v="4"/>
    <s v="Pacific"/>
    <x v="4"/>
    <x v="0"/>
    <x v="0"/>
  </r>
  <r>
    <n v="11434"/>
    <x v="0"/>
    <x v="1"/>
    <x v="9"/>
    <n v="5"/>
    <x v="1"/>
    <x v="2"/>
    <s v="Yes"/>
    <n v="0"/>
    <x v="0"/>
    <s v="Europe"/>
    <x v="10"/>
    <x v="0"/>
    <x v="0"/>
  </r>
  <r>
    <n v="25323"/>
    <x v="0"/>
    <x v="1"/>
    <x v="0"/>
    <n v="2"/>
    <x v="1"/>
    <x v="1"/>
    <s v="Yes"/>
    <n v="1"/>
    <x v="3"/>
    <s v="Europe"/>
    <x v="11"/>
    <x v="0"/>
    <x v="1"/>
  </r>
  <r>
    <n v="23542"/>
    <x v="1"/>
    <x v="1"/>
    <x v="10"/>
    <n v="1"/>
    <x v="1"/>
    <x v="0"/>
    <s v="No"/>
    <n v="1"/>
    <x v="0"/>
    <s v="Pacific"/>
    <x v="12"/>
    <x v="0"/>
    <x v="1"/>
  </r>
  <r>
    <n v="20870"/>
    <x v="1"/>
    <x v="0"/>
    <x v="4"/>
    <n v="2"/>
    <x v="2"/>
    <x v="3"/>
    <s v="Yes"/>
    <n v="1"/>
    <x v="0"/>
    <s v="Europe"/>
    <x v="13"/>
    <x v="0"/>
    <x v="1"/>
  </r>
  <r>
    <n v="23316"/>
    <x v="1"/>
    <x v="1"/>
    <x v="1"/>
    <n v="3"/>
    <x v="1"/>
    <x v="1"/>
    <s v="No"/>
    <n v="2"/>
    <x v="3"/>
    <s v="Pacific"/>
    <x v="14"/>
    <x v="1"/>
    <x v="1"/>
  </r>
  <r>
    <n v="12610"/>
    <x v="0"/>
    <x v="0"/>
    <x v="1"/>
    <n v="1"/>
    <x v="0"/>
    <x v="1"/>
    <s v="Yes"/>
    <n v="0"/>
    <x v="0"/>
    <s v="Europe"/>
    <x v="15"/>
    <x v="0"/>
    <x v="0"/>
  </r>
  <r>
    <n v="27183"/>
    <x v="1"/>
    <x v="1"/>
    <x v="0"/>
    <n v="2"/>
    <x v="1"/>
    <x v="1"/>
    <s v="Yes"/>
    <n v="1"/>
    <x v="3"/>
    <s v="Europe"/>
    <x v="11"/>
    <x v="0"/>
    <x v="1"/>
  </r>
  <r>
    <n v="25940"/>
    <x v="1"/>
    <x v="1"/>
    <x v="6"/>
    <n v="2"/>
    <x v="3"/>
    <x v="1"/>
    <s v="Yes"/>
    <n v="2"/>
    <x v="2"/>
    <s v="Pacific"/>
    <x v="10"/>
    <x v="0"/>
    <x v="1"/>
  </r>
  <r>
    <n v="25598"/>
    <x v="0"/>
    <x v="0"/>
    <x v="0"/>
    <n v="0"/>
    <x v="4"/>
    <x v="1"/>
    <s v="Yes"/>
    <n v="2"/>
    <x v="3"/>
    <s v="Europe"/>
    <x v="4"/>
    <x v="0"/>
    <x v="1"/>
  </r>
  <r>
    <n v="21564"/>
    <x v="1"/>
    <x v="0"/>
    <x v="2"/>
    <n v="0"/>
    <x v="0"/>
    <x v="2"/>
    <s v="Yes"/>
    <n v="4"/>
    <x v="4"/>
    <s v="Pacific"/>
    <x v="11"/>
    <x v="0"/>
    <x v="0"/>
  </r>
  <r>
    <n v="19193"/>
    <x v="1"/>
    <x v="1"/>
    <x v="0"/>
    <n v="2"/>
    <x v="1"/>
    <x v="1"/>
    <s v="Yes"/>
    <n v="0"/>
    <x v="3"/>
    <s v="Europe"/>
    <x v="11"/>
    <x v="0"/>
    <x v="1"/>
  </r>
  <r>
    <n v="26412"/>
    <x v="0"/>
    <x v="0"/>
    <x v="2"/>
    <n v="5"/>
    <x v="2"/>
    <x v="4"/>
    <s v="No"/>
    <n v="3"/>
    <x v="2"/>
    <s v="Europe"/>
    <x v="16"/>
    <x v="1"/>
    <x v="0"/>
  </r>
  <r>
    <n v="27184"/>
    <x v="1"/>
    <x v="1"/>
    <x v="0"/>
    <n v="2"/>
    <x v="1"/>
    <x v="1"/>
    <s v="No"/>
    <n v="1"/>
    <x v="0"/>
    <s v="Europe"/>
    <x v="17"/>
    <x v="0"/>
    <x v="0"/>
  </r>
  <r>
    <n v="13648"/>
    <x v="0"/>
    <x v="0"/>
    <x v="6"/>
    <n v="5"/>
    <x v="1"/>
    <x v="1"/>
    <s v="Yes"/>
    <n v="4"/>
    <x v="0"/>
    <s v="North America"/>
    <x v="18"/>
    <x v="0"/>
    <x v="1"/>
  </r>
  <r>
    <n v="10976"/>
    <x v="0"/>
    <x v="1"/>
    <x v="9"/>
    <n v="0"/>
    <x v="1"/>
    <x v="4"/>
    <s v="Yes"/>
    <n v="4"/>
    <x v="2"/>
    <s v="Europe"/>
    <x v="19"/>
    <x v="0"/>
    <x v="0"/>
  </r>
  <r>
    <n v="10212"/>
    <x v="0"/>
    <x v="0"/>
    <x v="3"/>
    <n v="1"/>
    <x v="2"/>
    <x v="2"/>
    <s v="No"/>
    <n v="0"/>
    <x v="0"/>
    <s v="Pacific"/>
    <x v="20"/>
    <x v="0"/>
    <x v="0"/>
  </r>
  <r>
    <n v="21270"/>
    <x v="1"/>
    <x v="1"/>
    <x v="8"/>
    <n v="3"/>
    <x v="3"/>
    <x v="4"/>
    <s v="Yes"/>
    <n v="4"/>
    <x v="1"/>
    <s v="North America"/>
    <x v="21"/>
    <x v="1"/>
    <x v="0"/>
  </r>
  <r>
    <n v="28918"/>
    <x v="0"/>
    <x v="1"/>
    <x v="1"/>
    <n v="0"/>
    <x v="0"/>
    <x v="1"/>
    <s v="Yes"/>
    <n v="0"/>
    <x v="2"/>
    <s v="Pacific"/>
    <x v="9"/>
    <x v="0"/>
    <x v="0"/>
  </r>
  <r>
    <n v="15329"/>
    <x v="1"/>
    <x v="0"/>
    <x v="11"/>
    <n v="5"/>
    <x v="1"/>
    <x v="2"/>
    <s v="Yes"/>
    <n v="4"/>
    <x v="3"/>
    <s v="North America"/>
    <x v="8"/>
    <x v="0"/>
    <x v="1"/>
  </r>
  <r>
    <n v="25147"/>
    <x v="1"/>
    <x v="0"/>
    <x v="1"/>
    <n v="0"/>
    <x v="4"/>
    <x v="1"/>
    <s v="Yes"/>
    <n v="0"/>
    <x v="1"/>
    <s v="Pacific"/>
    <x v="0"/>
    <x v="0"/>
    <x v="1"/>
  </r>
  <r>
    <n v="16913"/>
    <x v="1"/>
    <x v="1"/>
    <x v="0"/>
    <n v="1"/>
    <x v="3"/>
    <x v="3"/>
    <s v="No"/>
    <n v="1"/>
    <x v="3"/>
    <s v="North America"/>
    <x v="2"/>
    <x v="1"/>
    <x v="0"/>
  </r>
  <r>
    <n v="29155"/>
    <x v="1"/>
    <x v="0"/>
    <x v="6"/>
    <n v="4"/>
    <x v="2"/>
    <x v="1"/>
    <s v="No"/>
    <n v="0"/>
    <x v="0"/>
    <s v="Europe"/>
    <x v="17"/>
    <x v="0"/>
    <x v="1"/>
  </r>
  <r>
    <n v="23833"/>
    <x v="0"/>
    <x v="0"/>
    <x v="12"/>
    <n v="4"/>
    <x v="3"/>
    <x v="4"/>
    <s v="No"/>
    <n v="4"/>
    <x v="0"/>
    <s v="North America"/>
    <x v="22"/>
    <x v="0"/>
    <x v="0"/>
  </r>
  <r>
    <n v="21146"/>
    <x v="0"/>
    <x v="0"/>
    <x v="0"/>
    <n v="0"/>
    <x v="3"/>
    <x v="1"/>
    <s v="No"/>
    <n v="4"/>
    <x v="3"/>
    <s v="North America"/>
    <x v="20"/>
    <x v="0"/>
    <x v="0"/>
  </r>
  <r>
    <n v="26635"/>
    <x v="0"/>
    <x v="1"/>
    <x v="4"/>
    <n v="4"/>
    <x v="2"/>
    <x v="1"/>
    <s v="No"/>
    <n v="3"/>
    <x v="0"/>
    <s v="Europe"/>
    <x v="23"/>
    <x v="0"/>
    <x v="0"/>
  </r>
  <r>
    <n v="17846"/>
    <x v="0"/>
    <x v="1"/>
    <x v="0"/>
    <n v="5"/>
    <x v="4"/>
    <x v="0"/>
    <s v="No"/>
    <n v="0"/>
    <x v="4"/>
    <s v="Europe"/>
    <x v="6"/>
    <x v="0"/>
    <x v="0"/>
  </r>
  <r>
    <n v="28015"/>
    <x v="0"/>
    <x v="0"/>
    <x v="13"/>
    <n v="1"/>
    <x v="4"/>
    <x v="4"/>
    <s v="Yes"/>
    <n v="2"/>
    <x v="2"/>
    <s v="North America"/>
    <x v="23"/>
    <x v="0"/>
    <x v="0"/>
  </r>
  <r>
    <n v="26959"/>
    <x v="1"/>
    <x v="1"/>
    <x v="4"/>
    <n v="2"/>
    <x v="1"/>
    <x v="1"/>
    <s v="Yes"/>
    <n v="4"/>
    <x v="4"/>
    <s v="Europe"/>
    <x v="24"/>
    <x v="1"/>
    <x v="1"/>
  </r>
  <r>
    <n v="10235"/>
    <x v="0"/>
    <x v="1"/>
    <x v="0"/>
    <n v="2"/>
    <x v="1"/>
    <x v="0"/>
    <s v="Yes"/>
    <n v="4"/>
    <x v="3"/>
    <s v="Pacific"/>
    <x v="16"/>
    <x v="1"/>
    <x v="1"/>
  </r>
  <r>
    <n v="27669"/>
    <x v="0"/>
    <x v="0"/>
    <x v="0"/>
    <n v="1"/>
    <x v="1"/>
    <x v="3"/>
    <s v="Yes"/>
    <n v="0"/>
    <x v="2"/>
    <s v="Pacific"/>
    <x v="18"/>
    <x v="0"/>
    <x v="0"/>
  </r>
  <r>
    <n v="25303"/>
    <x v="0"/>
    <x v="1"/>
    <x v="1"/>
    <n v="0"/>
    <x v="0"/>
    <x v="3"/>
    <s v="Yes"/>
    <n v="1"/>
    <x v="3"/>
    <s v="North America"/>
    <x v="19"/>
    <x v="0"/>
    <x v="1"/>
  </r>
  <r>
    <n v="23824"/>
    <x v="0"/>
    <x v="0"/>
    <x v="4"/>
    <n v="3"/>
    <x v="3"/>
    <x v="1"/>
    <s v="Yes"/>
    <n v="0"/>
    <x v="4"/>
    <s v="Europe"/>
    <x v="25"/>
    <x v="0"/>
    <x v="1"/>
  </r>
  <r>
    <n v="15449"/>
    <x v="1"/>
    <x v="0"/>
    <x v="0"/>
    <n v="0"/>
    <x v="3"/>
    <x v="1"/>
    <s v="Yes"/>
    <n v="3"/>
    <x v="0"/>
    <s v="Pacific"/>
    <x v="3"/>
    <x v="0"/>
    <x v="0"/>
  </r>
  <r>
    <n v="19347"/>
    <x v="1"/>
    <x v="0"/>
    <x v="1"/>
    <n v="1"/>
    <x v="1"/>
    <x v="1"/>
    <s v="Yes"/>
    <n v="4"/>
    <x v="4"/>
    <s v="Europe"/>
    <x v="12"/>
    <x v="0"/>
    <x v="1"/>
  </r>
  <r>
    <n v="11643"/>
    <x v="1"/>
    <x v="1"/>
    <x v="8"/>
    <n v="1"/>
    <x v="0"/>
    <x v="4"/>
    <s v="Yes"/>
    <n v="4"/>
    <x v="0"/>
    <s v="North America"/>
    <x v="8"/>
    <x v="0"/>
    <x v="0"/>
  </r>
  <r>
    <n v="13928"/>
    <x v="0"/>
    <x v="1"/>
    <x v="3"/>
    <n v="5"/>
    <x v="4"/>
    <x v="0"/>
    <s v="No"/>
    <n v="2"/>
    <x v="3"/>
    <s v="North America"/>
    <x v="12"/>
    <x v="0"/>
    <x v="1"/>
  </r>
  <r>
    <n v="18703"/>
    <x v="1"/>
    <x v="1"/>
    <x v="1"/>
    <n v="0"/>
    <x v="2"/>
    <x v="3"/>
    <s v="Yes"/>
    <n v="3"/>
    <x v="4"/>
    <s v="North America"/>
    <x v="20"/>
    <x v="0"/>
    <x v="1"/>
  </r>
  <r>
    <n v="27617"/>
    <x v="0"/>
    <x v="0"/>
    <x v="10"/>
    <n v="1"/>
    <x v="1"/>
    <x v="2"/>
    <s v="No"/>
    <n v="2"/>
    <x v="3"/>
    <s v="Pacific"/>
    <x v="14"/>
    <x v="1"/>
    <x v="0"/>
  </r>
  <r>
    <n v="27332"/>
    <x v="0"/>
    <x v="0"/>
    <x v="1"/>
    <n v="0"/>
    <x v="0"/>
    <x v="1"/>
    <s v="Yes"/>
    <n v="4"/>
    <x v="3"/>
    <s v="Pacific"/>
    <x v="1"/>
    <x v="0"/>
    <x v="1"/>
  </r>
  <r>
    <n v="21235"/>
    <x v="0"/>
    <x v="0"/>
    <x v="1"/>
    <n v="0"/>
    <x v="4"/>
    <x v="3"/>
    <s v="Yes"/>
    <n v="3"/>
    <x v="1"/>
    <s v="Europe"/>
    <x v="26"/>
    <x v="2"/>
    <x v="0"/>
  </r>
  <r>
    <n v="14286"/>
    <x v="1"/>
    <x v="1"/>
    <x v="13"/>
    <n v="4"/>
    <x v="3"/>
    <x v="4"/>
    <s v="Yes"/>
    <n v="0"/>
    <x v="0"/>
    <s v="North America"/>
    <x v="17"/>
    <x v="0"/>
    <x v="1"/>
  </r>
  <r>
    <n v="22098"/>
    <x v="0"/>
    <x v="0"/>
    <x v="10"/>
    <n v="2"/>
    <x v="1"/>
    <x v="0"/>
    <s v="Yes"/>
    <n v="2"/>
    <x v="3"/>
    <s v="North America"/>
    <x v="8"/>
    <x v="0"/>
    <x v="1"/>
  </r>
  <r>
    <n v="21589"/>
    <x v="1"/>
    <x v="1"/>
    <x v="6"/>
    <n v="3"/>
    <x v="1"/>
    <x v="1"/>
    <s v="Yes"/>
    <n v="1"/>
    <x v="1"/>
    <s v="Pacific"/>
    <x v="8"/>
    <x v="0"/>
    <x v="0"/>
  </r>
  <r>
    <n v="15216"/>
    <x v="0"/>
    <x v="0"/>
    <x v="6"/>
    <n v="1"/>
    <x v="0"/>
    <x v="3"/>
    <s v="No"/>
    <n v="2"/>
    <x v="1"/>
    <s v="Europe"/>
    <x v="27"/>
    <x v="0"/>
    <x v="1"/>
  </r>
  <r>
    <n v="16328"/>
    <x v="1"/>
    <x v="0"/>
    <x v="10"/>
    <n v="2"/>
    <x v="2"/>
    <x v="0"/>
    <s v="No"/>
    <n v="4"/>
    <x v="1"/>
    <s v="Europe"/>
    <x v="22"/>
    <x v="0"/>
    <x v="0"/>
  </r>
  <r>
    <n v="15851"/>
    <x v="1"/>
    <x v="1"/>
    <x v="13"/>
    <n v="2"/>
    <x v="0"/>
    <x v="4"/>
    <s v="No"/>
    <n v="3"/>
    <x v="4"/>
    <s v="North America"/>
    <x v="22"/>
    <x v="0"/>
    <x v="0"/>
  </r>
  <r>
    <n v="28893"/>
    <x v="0"/>
    <x v="0"/>
    <x v="4"/>
    <n v="4"/>
    <x v="0"/>
    <x v="3"/>
    <s v="Yes"/>
    <n v="2"/>
    <x v="2"/>
    <s v="Europe"/>
    <x v="28"/>
    <x v="0"/>
    <x v="0"/>
  </r>
  <r>
    <n v="14083"/>
    <x v="1"/>
    <x v="0"/>
    <x v="8"/>
    <n v="5"/>
    <x v="3"/>
    <x v="2"/>
    <s v="No"/>
    <n v="4"/>
    <x v="3"/>
    <s v="Europe"/>
    <x v="29"/>
    <x v="0"/>
    <x v="0"/>
  </r>
  <r>
    <n v="15702"/>
    <x v="1"/>
    <x v="0"/>
    <x v="10"/>
    <n v="2"/>
    <x v="4"/>
    <x v="0"/>
    <s v="Yes"/>
    <n v="3"/>
    <x v="4"/>
    <s v="North America"/>
    <x v="12"/>
    <x v="0"/>
    <x v="0"/>
  </r>
  <r>
    <n v="24476"/>
    <x v="1"/>
    <x v="1"/>
    <x v="6"/>
    <n v="5"/>
    <x v="4"/>
    <x v="3"/>
    <s v="Yes"/>
    <n v="2"/>
    <x v="4"/>
    <s v="North America"/>
    <x v="30"/>
    <x v="1"/>
    <x v="0"/>
  </r>
  <r>
    <n v="13060"/>
    <x v="0"/>
    <x v="0"/>
    <x v="6"/>
    <n v="0"/>
    <x v="1"/>
    <x v="1"/>
    <s v="Yes"/>
    <n v="1"/>
    <x v="2"/>
    <s v="North America"/>
    <x v="31"/>
    <x v="2"/>
    <x v="0"/>
  </r>
  <r>
    <n v="23580"/>
    <x v="0"/>
    <x v="0"/>
    <x v="6"/>
    <n v="1"/>
    <x v="3"/>
    <x v="3"/>
    <s v="Yes"/>
    <n v="0"/>
    <x v="2"/>
    <s v="Europe"/>
    <x v="4"/>
    <x v="0"/>
    <x v="0"/>
  </r>
  <r>
    <n v="11645"/>
    <x v="0"/>
    <x v="1"/>
    <x v="0"/>
    <n v="5"/>
    <x v="3"/>
    <x v="1"/>
    <s v="No"/>
    <n v="3"/>
    <x v="4"/>
    <s v="North America"/>
    <x v="32"/>
    <x v="1"/>
    <x v="0"/>
  </r>
  <r>
    <n v="27952"/>
    <x v="1"/>
    <x v="1"/>
    <x v="1"/>
    <n v="1"/>
    <x v="3"/>
    <x v="3"/>
    <s v="No"/>
    <n v="4"/>
    <x v="2"/>
    <s v="North America"/>
    <x v="8"/>
    <x v="0"/>
    <x v="0"/>
  </r>
  <r>
    <n v="24413"/>
    <x v="0"/>
    <x v="0"/>
    <x v="2"/>
    <n v="2"/>
    <x v="1"/>
    <x v="2"/>
    <s v="Yes"/>
    <n v="1"/>
    <x v="3"/>
    <s v="Europe"/>
    <x v="33"/>
    <x v="0"/>
    <x v="1"/>
  </r>
  <r>
    <n v="17010"/>
    <x v="0"/>
    <x v="0"/>
    <x v="14"/>
    <n v="3"/>
    <x v="3"/>
    <x v="2"/>
    <s v="No"/>
    <n v="0"/>
    <x v="3"/>
    <s v="Pacific"/>
    <x v="33"/>
    <x v="0"/>
    <x v="1"/>
  </r>
  <r>
    <n v="28864"/>
    <x v="1"/>
    <x v="0"/>
    <x v="2"/>
    <n v="3"/>
    <x v="0"/>
    <x v="2"/>
    <s v="No"/>
    <n v="4"/>
    <x v="4"/>
    <s v="North America"/>
    <x v="27"/>
    <x v="0"/>
    <x v="0"/>
  </r>
  <r>
    <n v="17190"/>
    <x v="1"/>
    <x v="0"/>
    <x v="3"/>
    <n v="2"/>
    <x v="3"/>
    <x v="0"/>
    <s v="No"/>
    <n v="1"/>
    <x v="2"/>
    <s v="Europe"/>
    <x v="21"/>
    <x v="1"/>
    <x v="1"/>
  </r>
  <r>
    <n v="22911"/>
    <x v="0"/>
    <x v="1"/>
    <x v="0"/>
    <n v="1"/>
    <x v="3"/>
    <x v="1"/>
    <s v="Yes"/>
    <n v="2"/>
    <x v="2"/>
    <s v="Pacific"/>
    <x v="13"/>
    <x v="0"/>
    <x v="0"/>
  </r>
  <r>
    <n v="20710"/>
    <x v="1"/>
    <x v="0"/>
    <x v="1"/>
    <n v="0"/>
    <x v="2"/>
    <x v="3"/>
    <s v="No"/>
    <n v="0"/>
    <x v="4"/>
    <s v="Europe"/>
    <x v="15"/>
    <x v="0"/>
    <x v="1"/>
  </r>
  <r>
    <n v="12248"/>
    <x v="0"/>
    <x v="1"/>
    <x v="4"/>
    <n v="4"/>
    <x v="1"/>
    <x v="1"/>
    <s v="Yes"/>
    <n v="1"/>
    <x v="3"/>
    <s v="Pacific"/>
    <x v="22"/>
    <x v="0"/>
    <x v="1"/>
  </r>
  <r>
    <n v="25238"/>
    <x v="1"/>
    <x v="0"/>
    <x v="9"/>
    <n v="5"/>
    <x v="1"/>
    <x v="4"/>
    <s v="Yes"/>
    <n v="1"/>
    <x v="1"/>
    <s v="Europe"/>
    <x v="24"/>
    <x v="1"/>
    <x v="1"/>
  </r>
  <r>
    <n v="20222"/>
    <x v="1"/>
    <x v="0"/>
    <x v="2"/>
    <n v="5"/>
    <x v="1"/>
    <x v="0"/>
    <s v="Yes"/>
    <n v="0"/>
    <x v="1"/>
    <s v="North America"/>
    <x v="34"/>
    <x v="1"/>
    <x v="1"/>
  </r>
  <r>
    <n v="28544"/>
    <x v="0"/>
    <x v="0"/>
    <x v="1"/>
    <n v="0"/>
    <x v="4"/>
    <x v="3"/>
    <s v="No"/>
    <n v="0"/>
    <x v="2"/>
    <s v="Pacific"/>
    <x v="20"/>
    <x v="0"/>
    <x v="0"/>
  </r>
  <r>
    <n v="21868"/>
    <x v="1"/>
    <x v="1"/>
    <x v="1"/>
    <n v="4"/>
    <x v="3"/>
    <x v="1"/>
    <s v="No"/>
    <n v="3"/>
    <x v="2"/>
    <s v="North America"/>
    <x v="24"/>
    <x v="1"/>
    <x v="0"/>
  </r>
  <r>
    <n v="20561"/>
    <x v="0"/>
    <x v="1"/>
    <x v="6"/>
    <n v="3"/>
    <x v="2"/>
    <x v="3"/>
    <s v="No"/>
    <n v="2"/>
    <x v="0"/>
    <s v="Pacific"/>
    <x v="12"/>
    <x v="0"/>
    <x v="1"/>
  </r>
  <r>
    <n v="25976"/>
    <x v="0"/>
    <x v="0"/>
    <x v="2"/>
    <n v="4"/>
    <x v="2"/>
    <x v="2"/>
    <s v="No"/>
    <n v="4"/>
    <x v="0"/>
    <s v="North America"/>
    <x v="35"/>
    <x v="0"/>
    <x v="1"/>
  </r>
  <r>
    <n v="17908"/>
    <x v="1"/>
    <x v="0"/>
    <x v="0"/>
    <n v="5"/>
    <x v="4"/>
    <x v="1"/>
    <s v="No"/>
    <n v="3"/>
    <x v="0"/>
    <s v="Europe"/>
    <x v="1"/>
    <x v="0"/>
    <x v="1"/>
  </r>
  <r>
    <n v="23251"/>
    <x v="0"/>
    <x v="0"/>
    <x v="8"/>
    <n v="4"/>
    <x v="4"/>
    <x v="2"/>
    <s v="No"/>
    <n v="3"/>
    <x v="4"/>
    <s v="Pacific"/>
    <x v="15"/>
    <x v="0"/>
    <x v="0"/>
  </r>
  <r>
    <n v="18877"/>
    <x v="1"/>
    <x v="0"/>
    <x v="15"/>
    <n v="2"/>
    <x v="1"/>
    <x v="0"/>
    <s v="Yes"/>
    <n v="4"/>
    <x v="3"/>
    <s v="Europe"/>
    <x v="13"/>
    <x v="0"/>
    <x v="0"/>
  </r>
  <r>
    <n v="19060"/>
    <x v="1"/>
    <x v="1"/>
    <x v="3"/>
    <n v="2"/>
    <x v="1"/>
    <x v="2"/>
    <s v="Yes"/>
    <n v="2"/>
    <x v="0"/>
    <s v="North America"/>
    <x v="14"/>
    <x v="1"/>
    <x v="1"/>
  </r>
  <r>
    <n v="18988"/>
    <x v="0"/>
    <x v="1"/>
    <x v="11"/>
    <n v="1"/>
    <x v="4"/>
    <x v="2"/>
    <s v="No"/>
    <n v="0"/>
    <x v="0"/>
    <s v="North America"/>
    <x v="1"/>
    <x v="0"/>
    <x v="0"/>
  </r>
  <r>
    <n v="25686"/>
    <x v="1"/>
    <x v="0"/>
    <x v="10"/>
    <n v="3"/>
    <x v="1"/>
    <x v="0"/>
    <s v="Yes"/>
    <n v="0"/>
    <x v="2"/>
    <s v="Pacific"/>
    <x v="31"/>
    <x v="2"/>
    <x v="1"/>
  </r>
  <r>
    <n v="14971"/>
    <x v="0"/>
    <x v="0"/>
    <x v="4"/>
    <n v="4"/>
    <x v="0"/>
    <x v="1"/>
    <s v="No"/>
    <n v="4"/>
    <x v="4"/>
    <s v="North America"/>
    <x v="27"/>
    <x v="0"/>
    <x v="0"/>
  </r>
  <r>
    <n v="24762"/>
    <x v="1"/>
    <x v="0"/>
    <x v="1"/>
    <n v="4"/>
    <x v="4"/>
    <x v="3"/>
    <s v="Yes"/>
    <n v="4"/>
    <x v="0"/>
    <s v="Europe"/>
    <x v="30"/>
    <x v="1"/>
    <x v="1"/>
  </r>
  <r>
    <n v="18671"/>
    <x v="0"/>
    <x v="1"/>
    <x v="4"/>
    <n v="1"/>
    <x v="1"/>
    <x v="1"/>
    <s v="Yes"/>
    <n v="3"/>
    <x v="2"/>
    <s v="North America"/>
    <x v="34"/>
    <x v="1"/>
    <x v="0"/>
  </r>
  <r>
    <n v="19543"/>
    <x v="0"/>
    <x v="1"/>
    <x v="11"/>
    <n v="3"/>
    <x v="2"/>
    <x v="2"/>
    <s v="Yes"/>
    <n v="1"/>
    <x v="1"/>
    <s v="North America"/>
    <x v="24"/>
    <x v="1"/>
    <x v="1"/>
  </r>
  <r>
    <n v="23930"/>
    <x v="0"/>
    <x v="1"/>
    <x v="7"/>
    <n v="1"/>
    <x v="1"/>
    <x v="2"/>
    <s v="Yes"/>
    <n v="0"/>
    <x v="3"/>
    <s v="Pacific"/>
    <x v="34"/>
    <x v="1"/>
    <x v="0"/>
  </r>
  <r>
    <n v="24390"/>
    <x v="0"/>
    <x v="0"/>
    <x v="1"/>
    <n v="4"/>
    <x v="2"/>
    <x v="3"/>
    <s v="No"/>
    <n v="3"/>
    <x v="0"/>
    <s v="North America"/>
    <x v="36"/>
    <x v="2"/>
    <x v="0"/>
  </r>
  <r>
    <n v="29782"/>
    <x v="1"/>
    <x v="1"/>
    <x v="4"/>
    <n v="5"/>
    <x v="0"/>
    <x v="1"/>
    <s v="No"/>
    <n v="4"/>
    <x v="0"/>
    <s v="Europe"/>
    <x v="10"/>
    <x v="0"/>
    <x v="0"/>
  </r>
  <r>
    <n v="19114"/>
    <x v="0"/>
    <x v="0"/>
    <x v="3"/>
    <n v="2"/>
    <x v="3"/>
    <x v="0"/>
    <s v="No"/>
    <n v="2"/>
    <x v="1"/>
    <s v="North America"/>
    <x v="20"/>
    <x v="0"/>
    <x v="1"/>
  </r>
  <r>
    <n v="20807"/>
    <x v="1"/>
    <x v="0"/>
    <x v="4"/>
    <n v="3"/>
    <x v="2"/>
    <x v="3"/>
    <s v="Yes"/>
    <n v="2"/>
    <x v="1"/>
    <s v="Pacific"/>
    <x v="22"/>
    <x v="0"/>
    <x v="0"/>
  </r>
  <r>
    <n v="26862"/>
    <x v="0"/>
    <x v="0"/>
    <x v="15"/>
    <n v="4"/>
    <x v="3"/>
    <x v="0"/>
    <s v="No"/>
    <n v="4"/>
    <x v="2"/>
    <s v="North America"/>
    <x v="19"/>
    <x v="0"/>
    <x v="1"/>
  </r>
  <r>
    <n v="16670"/>
    <x v="1"/>
    <x v="1"/>
    <x v="0"/>
    <n v="0"/>
    <x v="2"/>
    <x v="3"/>
    <s v="Yes"/>
    <n v="4"/>
    <x v="3"/>
    <s v="North America"/>
    <x v="11"/>
    <x v="0"/>
    <x v="0"/>
  </r>
  <r>
    <n v="28049"/>
    <x v="0"/>
    <x v="0"/>
    <x v="4"/>
    <n v="3"/>
    <x v="0"/>
    <x v="1"/>
    <s v="Yes"/>
    <n v="1"/>
    <x v="2"/>
    <s v="North America"/>
    <x v="1"/>
    <x v="0"/>
    <x v="0"/>
  </r>
  <r>
    <n v="23614"/>
    <x v="1"/>
    <x v="0"/>
    <x v="6"/>
    <n v="3"/>
    <x v="1"/>
    <x v="3"/>
    <s v="Yes"/>
    <n v="4"/>
    <x v="4"/>
    <s v="North America"/>
    <x v="6"/>
    <x v="0"/>
    <x v="1"/>
  </r>
  <r>
    <n v="19052"/>
    <x v="1"/>
    <x v="0"/>
    <x v="7"/>
    <n v="0"/>
    <x v="4"/>
    <x v="2"/>
    <s v="No"/>
    <n v="2"/>
    <x v="4"/>
    <s v="North America"/>
    <x v="16"/>
    <x v="1"/>
    <x v="1"/>
  </r>
  <r>
    <n v="24632"/>
    <x v="1"/>
    <x v="0"/>
    <x v="5"/>
    <n v="3"/>
    <x v="2"/>
    <x v="4"/>
    <s v="No"/>
    <n v="2"/>
    <x v="3"/>
    <s v="North America"/>
    <x v="8"/>
    <x v="0"/>
    <x v="0"/>
  </r>
  <r>
    <n v="17653"/>
    <x v="1"/>
    <x v="1"/>
    <x v="0"/>
    <n v="3"/>
    <x v="2"/>
    <x v="3"/>
    <s v="Yes"/>
    <n v="3"/>
    <x v="0"/>
    <s v="Europe"/>
    <x v="32"/>
    <x v="1"/>
    <x v="0"/>
  </r>
  <r>
    <n v="13288"/>
    <x v="1"/>
    <x v="1"/>
    <x v="4"/>
    <n v="5"/>
    <x v="4"/>
    <x v="3"/>
    <s v="Yes"/>
    <n v="3"/>
    <x v="3"/>
    <s v="Europe"/>
    <x v="10"/>
    <x v="0"/>
    <x v="0"/>
  </r>
  <r>
    <n v="21093"/>
    <x v="1"/>
    <x v="1"/>
    <x v="13"/>
    <n v="2"/>
    <x v="2"/>
    <x v="4"/>
    <s v="No"/>
    <n v="4"/>
    <x v="0"/>
    <s v="North America"/>
    <x v="31"/>
    <x v="2"/>
    <x v="1"/>
  </r>
  <r>
    <n v="19416"/>
    <x v="0"/>
    <x v="1"/>
    <x v="0"/>
    <n v="3"/>
    <x v="3"/>
    <x v="0"/>
    <s v="Yes"/>
    <n v="2"/>
    <x v="0"/>
    <s v="Europe"/>
    <x v="12"/>
    <x v="0"/>
    <x v="1"/>
  </r>
  <r>
    <n v="19613"/>
    <x v="1"/>
    <x v="0"/>
    <x v="6"/>
    <n v="4"/>
    <x v="3"/>
    <x v="1"/>
    <s v="No"/>
    <n v="4"/>
    <x v="3"/>
    <s v="Europe"/>
    <x v="4"/>
    <x v="0"/>
    <x v="1"/>
  </r>
  <r>
    <n v="29971"/>
    <x v="1"/>
    <x v="1"/>
    <x v="14"/>
    <n v="1"/>
    <x v="3"/>
    <x v="4"/>
    <s v="No"/>
    <n v="2"/>
    <x v="2"/>
    <s v="Pacific"/>
    <x v="26"/>
    <x v="2"/>
    <x v="0"/>
  </r>
  <r>
    <n v="19425"/>
    <x v="0"/>
    <x v="1"/>
    <x v="14"/>
    <n v="2"/>
    <x v="3"/>
    <x v="2"/>
    <s v="No"/>
    <n v="2"/>
    <x v="2"/>
    <s v="Pacific"/>
    <x v="35"/>
    <x v="0"/>
    <x v="0"/>
  </r>
  <r>
    <n v="25833"/>
    <x v="0"/>
    <x v="1"/>
    <x v="16"/>
    <n v="4"/>
    <x v="3"/>
    <x v="4"/>
    <s v="No"/>
    <n v="2"/>
    <x v="0"/>
    <s v="North America"/>
    <x v="5"/>
    <x v="0"/>
    <x v="0"/>
  </r>
  <r>
    <n v="10265"/>
    <x v="0"/>
    <x v="0"/>
    <x v="1"/>
    <n v="1"/>
    <x v="2"/>
    <x v="1"/>
    <s v="Yes"/>
    <n v="4"/>
    <x v="1"/>
    <s v="North America"/>
    <x v="6"/>
    <x v="0"/>
    <x v="1"/>
  </r>
  <r>
    <n v="11291"/>
    <x v="1"/>
    <x v="0"/>
    <x v="16"/>
    <n v="5"/>
    <x v="0"/>
    <x v="4"/>
    <s v="Yes"/>
    <n v="0"/>
    <x v="1"/>
    <s v="Pacific"/>
    <x v="29"/>
    <x v="0"/>
    <x v="1"/>
  </r>
  <r>
    <n v="16579"/>
    <x v="0"/>
    <x v="0"/>
    <x v="7"/>
    <n v="1"/>
    <x v="4"/>
    <x v="4"/>
    <s v="No"/>
    <n v="3"/>
    <x v="1"/>
    <s v="North America"/>
    <x v="28"/>
    <x v="0"/>
    <x v="1"/>
  </r>
  <r>
    <n v="25346"/>
    <x v="0"/>
    <x v="1"/>
    <x v="1"/>
    <n v="0"/>
    <x v="1"/>
    <x v="3"/>
    <s v="No"/>
    <n v="0"/>
    <x v="1"/>
    <s v="North America"/>
    <x v="22"/>
    <x v="0"/>
    <x v="0"/>
  </r>
  <r>
    <n v="22077"/>
    <x v="1"/>
    <x v="0"/>
    <x v="15"/>
    <n v="3"/>
    <x v="2"/>
    <x v="0"/>
    <s v="Yes"/>
    <n v="4"/>
    <x v="4"/>
    <s v="Pacific"/>
    <x v="21"/>
    <x v="1"/>
    <x v="1"/>
  </r>
  <r>
    <n v="12071"/>
    <x v="1"/>
    <x v="0"/>
    <x v="15"/>
    <n v="0"/>
    <x v="3"/>
    <x v="0"/>
    <s v="Yes"/>
    <n v="2"/>
    <x v="2"/>
    <s v="Europe"/>
    <x v="20"/>
    <x v="0"/>
    <x v="1"/>
  </r>
  <r>
    <n v="27614"/>
    <x v="0"/>
    <x v="0"/>
    <x v="11"/>
    <n v="5"/>
    <x v="3"/>
    <x v="2"/>
    <s v="No"/>
    <n v="4"/>
    <x v="3"/>
    <s v="Pacific"/>
    <x v="20"/>
    <x v="0"/>
    <x v="0"/>
  </r>
  <r>
    <n v="23373"/>
    <x v="1"/>
    <x v="1"/>
    <x v="0"/>
    <n v="3"/>
    <x v="2"/>
    <x v="1"/>
    <s v="Yes"/>
    <n v="2"/>
    <x v="0"/>
    <s v="North America"/>
    <x v="23"/>
    <x v="0"/>
    <x v="0"/>
  </r>
  <r>
    <n v="11984"/>
    <x v="1"/>
    <x v="0"/>
    <x v="3"/>
    <n v="0"/>
    <x v="1"/>
    <x v="0"/>
    <s v="Yes"/>
    <n v="4"/>
    <x v="0"/>
    <s v="Europe"/>
    <x v="28"/>
    <x v="0"/>
    <x v="1"/>
  </r>
  <r>
    <n v="14126"/>
    <x v="0"/>
    <x v="1"/>
    <x v="6"/>
    <n v="1"/>
    <x v="4"/>
    <x v="1"/>
    <s v="No"/>
    <n v="1"/>
    <x v="4"/>
    <s v="Europe"/>
    <x v="0"/>
    <x v="0"/>
    <x v="1"/>
  </r>
  <r>
    <n v="14259"/>
    <x v="1"/>
    <x v="1"/>
    <x v="15"/>
    <n v="0"/>
    <x v="0"/>
    <x v="0"/>
    <s v="No"/>
    <n v="1"/>
    <x v="4"/>
    <s v="Pacific"/>
    <x v="37"/>
    <x v="2"/>
    <x v="1"/>
  </r>
  <r>
    <n v="18695"/>
    <x v="0"/>
    <x v="1"/>
    <x v="8"/>
    <n v="5"/>
    <x v="3"/>
    <x v="4"/>
    <s v="Yes"/>
    <n v="3"/>
    <x v="2"/>
    <s v="Pacific"/>
    <x v="32"/>
    <x v="1"/>
    <x v="1"/>
  </r>
  <r>
    <n v="24811"/>
    <x v="0"/>
    <x v="1"/>
    <x v="8"/>
    <n v="5"/>
    <x v="4"/>
    <x v="2"/>
    <s v="Yes"/>
    <n v="0"/>
    <x v="2"/>
    <s v="Pacific"/>
    <x v="18"/>
    <x v="0"/>
    <x v="1"/>
  </r>
  <r>
    <n v="26065"/>
    <x v="1"/>
    <x v="1"/>
    <x v="14"/>
    <n v="1"/>
    <x v="0"/>
    <x v="2"/>
    <s v="Yes"/>
    <n v="1"/>
    <x v="1"/>
    <s v="North America"/>
    <x v="30"/>
    <x v="1"/>
    <x v="0"/>
  </r>
  <r>
    <n v="22481"/>
    <x v="1"/>
    <x v="0"/>
    <x v="13"/>
    <n v="0"/>
    <x v="4"/>
    <x v="4"/>
    <s v="Yes"/>
    <n v="4"/>
    <x v="3"/>
    <s v="Pacific"/>
    <x v="19"/>
    <x v="0"/>
    <x v="1"/>
  </r>
  <r>
    <n v="23559"/>
    <x v="1"/>
    <x v="0"/>
    <x v="4"/>
    <n v="2"/>
    <x v="3"/>
    <x v="3"/>
    <s v="No"/>
    <n v="2"/>
    <x v="1"/>
    <s v="Pacific"/>
    <x v="17"/>
    <x v="0"/>
    <x v="0"/>
  </r>
  <r>
    <n v="12199"/>
    <x v="0"/>
    <x v="1"/>
    <x v="4"/>
    <n v="5"/>
    <x v="0"/>
    <x v="3"/>
    <s v="No"/>
    <n v="1"/>
    <x v="4"/>
    <s v="Europe"/>
    <x v="24"/>
    <x v="1"/>
    <x v="0"/>
  </r>
  <r>
    <n v="14005"/>
    <x v="1"/>
    <x v="0"/>
    <x v="10"/>
    <n v="4"/>
    <x v="3"/>
    <x v="0"/>
    <s v="No"/>
    <n v="2"/>
    <x v="0"/>
    <s v="North America"/>
    <x v="32"/>
    <x v="1"/>
    <x v="1"/>
  </r>
  <r>
    <n v="15070"/>
    <x v="1"/>
    <x v="1"/>
    <x v="7"/>
    <n v="4"/>
    <x v="0"/>
    <x v="2"/>
    <s v="No"/>
    <n v="0"/>
    <x v="1"/>
    <s v="North America"/>
    <x v="27"/>
    <x v="0"/>
    <x v="0"/>
  </r>
  <r>
    <n v="28381"/>
    <x v="0"/>
    <x v="0"/>
    <x v="1"/>
    <n v="5"/>
    <x v="0"/>
    <x v="1"/>
    <s v="No"/>
    <n v="2"/>
    <x v="1"/>
    <s v="Europe"/>
    <x v="4"/>
    <x v="0"/>
    <x v="1"/>
  </r>
  <r>
    <n v="28557"/>
    <x v="1"/>
    <x v="1"/>
    <x v="0"/>
    <n v="5"/>
    <x v="1"/>
    <x v="0"/>
    <s v="Yes"/>
    <n v="3"/>
    <x v="2"/>
    <s v="Pacific"/>
    <x v="28"/>
    <x v="0"/>
    <x v="1"/>
  </r>
  <r>
    <n v="22125"/>
    <x v="1"/>
    <x v="0"/>
    <x v="8"/>
    <n v="0"/>
    <x v="4"/>
    <x v="4"/>
    <s v="Yes"/>
    <n v="1"/>
    <x v="4"/>
    <s v="Europe"/>
    <x v="25"/>
    <x v="0"/>
    <x v="0"/>
  </r>
  <r>
    <n v="24519"/>
    <x v="1"/>
    <x v="0"/>
    <x v="0"/>
    <n v="2"/>
    <x v="4"/>
    <x v="3"/>
    <s v="Yes"/>
    <n v="4"/>
    <x v="0"/>
    <s v="Pacific"/>
    <x v="18"/>
    <x v="0"/>
    <x v="1"/>
  </r>
  <r>
    <n v="19281"/>
    <x v="1"/>
    <x v="0"/>
    <x v="0"/>
    <n v="4"/>
    <x v="0"/>
    <x v="1"/>
    <s v="Yes"/>
    <n v="0"/>
    <x v="3"/>
    <s v="Pacific"/>
    <x v="13"/>
    <x v="0"/>
    <x v="1"/>
  </r>
  <r>
    <n v="18372"/>
    <x v="1"/>
    <x v="0"/>
    <x v="3"/>
    <n v="5"/>
    <x v="0"/>
    <x v="0"/>
    <s v="No"/>
    <n v="1"/>
    <x v="3"/>
    <s v="Pacific"/>
    <x v="14"/>
    <x v="1"/>
    <x v="1"/>
  </r>
  <r>
    <n v="26392"/>
    <x v="1"/>
    <x v="1"/>
    <x v="3"/>
    <n v="0"/>
    <x v="3"/>
    <x v="0"/>
    <s v="No"/>
    <n v="0"/>
    <x v="1"/>
    <s v="North America"/>
    <x v="18"/>
    <x v="0"/>
    <x v="0"/>
  </r>
  <r>
    <n v="23686"/>
    <x v="1"/>
    <x v="1"/>
    <x v="10"/>
    <n v="1"/>
    <x v="3"/>
    <x v="0"/>
    <s v="No"/>
    <n v="2"/>
    <x v="0"/>
    <s v="Pacific"/>
    <x v="20"/>
    <x v="0"/>
    <x v="1"/>
  </r>
  <r>
    <n v="24276"/>
    <x v="1"/>
    <x v="1"/>
    <x v="11"/>
    <n v="2"/>
    <x v="3"/>
    <x v="2"/>
    <s v="Yes"/>
    <n v="2"/>
    <x v="3"/>
    <s v="Europe"/>
    <x v="32"/>
    <x v="1"/>
    <x v="1"/>
  </r>
  <r>
    <n v="27386"/>
    <x v="0"/>
    <x v="0"/>
    <x v="6"/>
    <n v="0"/>
    <x v="2"/>
    <x v="1"/>
    <s v="Yes"/>
    <n v="2"/>
    <x v="3"/>
    <s v="Europe"/>
    <x v="34"/>
    <x v="1"/>
    <x v="1"/>
  </r>
  <r>
    <n v="12469"/>
    <x v="0"/>
    <x v="0"/>
    <x v="9"/>
    <n v="3"/>
    <x v="3"/>
    <x v="4"/>
    <s v="No"/>
    <n v="2"/>
    <x v="3"/>
    <s v="Pacific"/>
    <x v="31"/>
    <x v="2"/>
    <x v="0"/>
  </r>
  <r>
    <n v="24490"/>
    <x v="1"/>
    <x v="0"/>
    <x v="10"/>
    <n v="4"/>
    <x v="4"/>
    <x v="0"/>
    <s v="Yes"/>
    <n v="2"/>
    <x v="2"/>
    <s v="Pacific"/>
    <x v="36"/>
    <x v="2"/>
    <x v="1"/>
  </r>
  <r>
    <n v="22082"/>
    <x v="1"/>
    <x v="1"/>
    <x v="9"/>
    <n v="4"/>
    <x v="0"/>
    <x v="4"/>
    <s v="No"/>
    <n v="3"/>
    <x v="4"/>
    <s v="North America"/>
    <x v="36"/>
    <x v="2"/>
    <x v="0"/>
  </r>
  <r>
    <n v="28732"/>
    <x v="0"/>
    <x v="0"/>
    <x v="6"/>
    <n v="0"/>
    <x v="4"/>
    <x v="3"/>
    <s v="No"/>
    <n v="0"/>
    <x v="1"/>
    <s v="North America"/>
    <x v="25"/>
    <x v="0"/>
    <x v="1"/>
  </r>
  <r>
    <n v="11282"/>
    <x v="0"/>
    <x v="0"/>
    <x v="5"/>
    <n v="4"/>
    <x v="3"/>
    <x v="4"/>
    <s v="Yes"/>
    <n v="2"/>
    <x v="1"/>
    <s v="Pacific"/>
    <x v="33"/>
    <x v="0"/>
    <x v="0"/>
  </r>
  <r>
    <n v="21087"/>
    <x v="0"/>
    <x v="0"/>
    <x v="10"/>
    <n v="4"/>
    <x v="0"/>
    <x v="2"/>
    <s v="No"/>
    <n v="2"/>
    <x v="1"/>
    <s v="North America"/>
    <x v="34"/>
    <x v="1"/>
    <x v="1"/>
  </r>
  <r>
    <n v="20923"/>
    <x v="0"/>
    <x v="1"/>
    <x v="11"/>
    <n v="5"/>
    <x v="2"/>
    <x v="2"/>
    <s v="No"/>
    <n v="1"/>
    <x v="4"/>
    <s v="North America"/>
    <x v="25"/>
    <x v="0"/>
    <x v="0"/>
  </r>
  <r>
    <n v="28314"/>
    <x v="1"/>
    <x v="0"/>
    <x v="8"/>
    <n v="5"/>
    <x v="1"/>
    <x v="4"/>
    <s v="No"/>
    <n v="4"/>
    <x v="1"/>
    <s v="Europe"/>
    <x v="23"/>
    <x v="0"/>
    <x v="0"/>
  </r>
  <r>
    <n v="15906"/>
    <x v="0"/>
    <x v="0"/>
    <x v="6"/>
    <n v="1"/>
    <x v="3"/>
    <x v="1"/>
    <s v="Yes"/>
    <n v="0"/>
    <x v="1"/>
    <s v="Europe"/>
    <x v="32"/>
    <x v="1"/>
    <x v="1"/>
  </r>
  <r>
    <n v="21035"/>
    <x v="0"/>
    <x v="0"/>
    <x v="6"/>
    <n v="5"/>
    <x v="1"/>
    <x v="1"/>
    <s v="Yes"/>
    <n v="3"/>
    <x v="0"/>
    <s v="Pacific"/>
    <x v="23"/>
    <x v="0"/>
    <x v="1"/>
  </r>
  <r>
    <n v="24555"/>
    <x v="1"/>
    <x v="0"/>
    <x v="11"/>
    <n v="2"/>
    <x v="1"/>
    <x v="4"/>
    <s v="No"/>
    <n v="1"/>
    <x v="1"/>
    <s v="North America"/>
    <x v="38"/>
    <x v="1"/>
    <x v="0"/>
  </r>
  <r>
    <n v="25128"/>
    <x v="1"/>
    <x v="0"/>
    <x v="13"/>
    <n v="1"/>
    <x v="4"/>
    <x v="4"/>
    <s v="Yes"/>
    <n v="4"/>
    <x v="3"/>
    <s v="Pacific"/>
    <x v="39"/>
    <x v="2"/>
    <x v="0"/>
  </r>
  <r>
    <n v="22163"/>
    <x v="0"/>
    <x v="1"/>
    <x v="15"/>
    <n v="2"/>
    <x v="2"/>
    <x v="0"/>
    <s v="No"/>
    <n v="4"/>
    <x v="3"/>
    <s v="Pacific"/>
    <x v="25"/>
    <x v="0"/>
    <x v="1"/>
  </r>
  <r>
    <n v="24782"/>
    <x v="1"/>
    <x v="1"/>
    <x v="3"/>
    <n v="4"/>
    <x v="3"/>
    <x v="0"/>
    <s v="No"/>
    <n v="1"/>
    <x v="2"/>
    <s v="Europe"/>
    <x v="23"/>
    <x v="0"/>
    <x v="1"/>
  </r>
  <r>
    <n v="10923"/>
    <x v="1"/>
    <x v="1"/>
    <x v="6"/>
    <n v="0"/>
    <x v="2"/>
    <x v="1"/>
    <s v="No"/>
    <n v="3"/>
    <x v="3"/>
    <s v="North America"/>
    <x v="10"/>
    <x v="0"/>
    <x v="0"/>
  </r>
  <r>
    <n v="10172"/>
    <x v="0"/>
    <x v="1"/>
    <x v="6"/>
    <n v="4"/>
    <x v="2"/>
    <x v="1"/>
    <s v="No"/>
    <n v="0"/>
    <x v="1"/>
    <s v="Europe"/>
    <x v="40"/>
    <x v="0"/>
    <x v="1"/>
  </r>
  <r>
    <n v="11564"/>
    <x v="0"/>
    <x v="0"/>
    <x v="4"/>
    <n v="0"/>
    <x v="4"/>
    <x v="3"/>
    <s v="No"/>
    <n v="4"/>
    <x v="4"/>
    <s v="Europe"/>
    <x v="30"/>
    <x v="1"/>
    <x v="1"/>
  </r>
  <r>
    <n v="14704"/>
    <x v="1"/>
    <x v="0"/>
    <x v="16"/>
    <n v="1"/>
    <x v="0"/>
    <x v="4"/>
    <s v="No"/>
    <n v="1"/>
    <x v="0"/>
    <s v="North America"/>
    <x v="23"/>
    <x v="0"/>
    <x v="1"/>
  </r>
  <r>
    <n v="27237"/>
    <x v="0"/>
    <x v="0"/>
    <x v="3"/>
    <n v="2"/>
    <x v="3"/>
    <x v="0"/>
    <s v="No"/>
    <n v="0"/>
    <x v="1"/>
    <s v="Europe"/>
    <x v="15"/>
    <x v="0"/>
    <x v="1"/>
  </r>
  <r>
    <n v="13396"/>
    <x v="1"/>
    <x v="1"/>
    <x v="14"/>
    <n v="2"/>
    <x v="0"/>
    <x v="2"/>
    <s v="Yes"/>
    <n v="3"/>
    <x v="2"/>
    <s v="North America"/>
    <x v="4"/>
    <x v="0"/>
    <x v="1"/>
  </r>
  <r>
    <n v="12067"/>
    <x v="1"/>
    <x v="1"/>
    <x v="4"/>
    <n v="1"/>
    <x v="2"/>
    <x v="1"/>
    <s v="Yes"/>
    <n v="2"/>
    <x v="1"/>
    <s v="North America"/>
    <x v="5"/>
    <x v="0"/>
    <x v="0"/>
  </r>
  <r>
    <n v="18300"/>
    <x v="0"/>
    <x v="1"/>
    <x v="7"/>
    <n v="0"/>
    <x v="2"/>
    <x v="2"/>
    <s v="No"/>
    <n v="2"/>
    <x v="0"/>
    <s v="Pacific"/>
    <x v="18"/>
    <x v="0"/>
    <x v="0"/>
  </r>
  <r>
    <n v="24409"/>
    <x v="1"/>
    <x v="0"/>
    <x v="0"/>
    <n v="2"/>
    <x v="1"/>
    <x v="3"/>
    <s v="No"/>
    <n v="0"/>
    <x v="2"/>
    <s v="Europe"/>
    <x v="18"/>
    <x v="0"/>
    <x v="1"/>
  </r>
  <r>
    <n v="27874"/>
    <x v="1"/>
    <x v="0"/>
    <x v="10"/>
    <n v="5"/>
    <x v="0"/>
    <x v="0"/>
    <s v="No"/>
    <n v="2"/>
    <x v="2"/>
    <s v="North America"/>
    <x v="18"/>
    <x v="0"/>
    <x v="1"/>
  </r>
  <r>
    <n v="24545"/>
    <x v="1"/>
    <x v="0"/>
    <x v="14"/>
    <n v="3"/>
    <x v="0"/>
    <x v="2"/>
    <s v="No"/>
    <n v="0"/>
    <x v="0"/>
    <s v="North America"/>
    <x v="30"/>
    <x v="1"/>
    <x v="0"/>
  </r>
  <r>
    <n v="21904"/>
    <x v="0"/>
    <x v="1"/>
    <x v="12"/>
    <n v="0"/>
    <x v="1"/>
    <x v="4"/>
    <s v="Yes"/>
    <n v="0"/>
    <x v="3"/>
    <s v="North America"/>
    <x v="23"/>
    <x v="0"/>
    <x v="0"/>
  </r>
  <r>
    <n v="22545"/>
    <x v="0"/>
    <x v="1"/>
    <x v="2"/>
    <n v="3"/>
    <x v="3"/>
    <x v="2"/>
    <s v="Yes"/>
    <n v="4"/>
    <x v="3"/>
    <s v="North America"/>
    <x v="23"/>
    <x v="0"/>
    <x v="0"/>
  </r>
  <r>
    <n v="20301"/>
    <x v="1"/>
    <x v="1"/>
    <x v="15"/>
    <n v="3"/>
    <x v="0"/>
    <x v="0"/>
    <s v="No"/>
    <n v="4"/>
    <x v="0"/>
    <s v="Pacific"/>
    <x v="3"/>
    <x v="0"/>
    <x v="0"/>
  </r>
  <r>
    <n v="17031"/>
    <x v="1"/>
    <x v="0"/>
    <x v="15"/>
    <n v="0"/>
    <x v="1"/>
    <x v="0"/>
    <s v="No"/>
    <n v="1"/>
    <x v="2"/>
    <s v="Europe"/>
    <x v="12"/>
    <x v="0"/>
    <x v="0"/>
  </r>
  <r>
    <n v="12127"/>
    <x v="1"/>
    <x v="0"/>
    <x v="1"/>
    <n v="4"/>
    <x v="1"/>
    <x v="1"/>
    <s v="Yes"/>
    <n v="0"/>
    <x v="3"/>
    <s v="Europe"/>
    <x v="8"/>
    <x v="0"/>
    <x v="0"/>
  </r>
  <r>
    <n v="10861"/>
    <x v="1"/>
    <x v="0"/>
    <x v="14"/>
    <n v="4"/>
    <x v="3"/>
    <x v="4"/>
    <s v="Yes"/>
    <n v="0"/>
    <x v="1"/>
    <s v="Pacific"/>
    <x v="10"/>
    <x v="0"/>
    <x v="0"/>
  </r>
  <r>
    <n v="23416"/>
    <x v="0"/>
    <x v="1"/>
    <x v="3"/>
    <n v="3"/>
    <x v="2"/>
    <x v="0"/>
    <s v="No"/>
    <n v="1"/>
    <x v="4"/>
    <s v="North America"/>
    <x v="24"/>
    <x v="1"/>
    <x v="1"/>
  </r>
  <r>
    <n v="14228"/>
    <x v="1"/>
    <x v="1"/>
    <x v="14"/>
    <n v="2"/>
    <x v="0"/>
    <x v="4"/>
    <s v="Yes"/>
    <n v="1"/>
    <x v="1"/>
    <s v="North America"/>
    <x v="27"/>
    <x v="0"/>
    <x v="0"/>
  </r>
  <r>
    <n v="27003"/>
    <x v="1"/>
    <x v="1"/>
    <x v="1"/>
    <n v="1"/>
    <x v="2"/>
    <x v="1"/>
    <s v="No"/>
    <n v="4"/>
    <x v="4"/>
    <s v="Europe"/>
    <x v="32"/>
    <x v="1"/>
    <x v="1"/>
  </r>
  <r>
    <n v="29392"/>
    <x v="0"/>
    <x v="1"/>
    <x v="16"/>
    <n v="4"/>
    <x v="4"/>
    <x v="4"/>
    <s v="Yes"/>
    <n v="0"/>
    <x v="0"/>
    <s v="Europe"/>
    <x v="38"/>
    <x v="1"/>
    <x v="0"/>
  </r>
  <r>
    <n v="16907"/>
    <x v="1"/>
    <x v="1"/>
    <x v="7"/>
    <n v="5"/>
    <x v="3"/>
    <x v="4"/>
    <s v="No"/>
    <n v="3"/>
    <x v="3"/>
    <s v="North America"/>
    <x v="5"/>
    <x v="0"/>
    <x v="0"/>
  </r>
  <r>
    <n v="24861"/>
    <x v="0"/>
    <x v="1"/>
    <x v="0"/>
    <n v="3"/>
    <x v="1"/>
    <x v="3"/>
    <s v="No"/>
    <n v="1"/>
    <x v="1"/>
    <s v="North America"/>
    <x v="17"/>
    <x v="0"/>
    <x v="0"/>
  </r>
  <r>
    <n v="20463"/>
    <x v="1"/>
    <x v="0"/>
    <x v="14"/>
    <n v="4"/>
    <x v="1"/>
    <x v="2"/>
    <s v="Yes"/>
    <n v="2"/>
    <x v="3"/>
    <s v="Pacific"/>
    <x v="22"/>
    <x v="0"/>
    <x v="0"/>
  </r>
  <r>
    <n v="24732"/>
    <x v="0"/>
    <x v="1"/>
    <x v="10"/>
    <n v="3"/>
    <x v="0"/>
    <x v="0"/>
    <s v="No"/>
    <n v="1"/>
    <x v="3"/>
    <s v="Pacific"/>
    <x v="38"/>
    <x v="1"/>
    <x v="0"/>
  </r>
  <r>
    <n v="16220"/>
    <x v="0"/>
    <x v="0"/>
    <x v="0"/>
    <n v="2"/>
    <x v="4"/>
    <x v="3"/>
    <s v="No"/>
    <n v="0"/>
    <x v="0"/>
    <s v="Pacific"/>
    <x v="32"/>
    <x v="1"/>
    <x v="0"/>
  </r>
  <r>
    <n v="17888"/>
    <x v="0"/>
    <x v="0"/>
    <x v="10"/>
    <n v="3"/>
    <x v="0"/>
    <x v="0"/>
    <s v="No"/>
    <n v="2"/>
    <x v="4"/>
    <s v="Europe"/>
    <x v="20"/>
    <x v="0"/>
    <x v="0"/>
  </r>
  <r>
    <n v="14388"/>
    <x v="1"/>
    <x v="0"/>
    <x v="10"/>
    <n v="3"/>
    <x v="3"/>
    <x v="2"/>
    <s v="Yes"/>
    <n v="4"/>
    <x v="4"/>
    <s v="Europe"/>
    <x v="23"/>
    <x v="0"/>
    <x v="0"/>
  </r>
  <r>
    <n v="12409"/>
    <x v="1"/>
    <x v="0"/>
    <x v="7"/>
    <n v="4"/>
    <x v="4"/>
    <x v="2"/>
    <s v="Yes"/>
    <n v="1"/>
    <x v="0"/>
    <s v="Pacific"/>
    <x v="23"/>
    <x v="0"/>
    <x v="0"/>
  </r>
  <r>
    <n v="28279"/>
    <x v="1"/>
    <x v="1"/>
    <x v="5"/>
    <n v="3"/>
    <x v="1"/>
    <x v="4"/>
    <s v="Yes"/>
    <n v="0"/>
    <x v="0"/>
    <s v="Europe"/>
    <x v="28"/>
    <x v="0"/>
    <x v="0"/>
  </r>
  <r>
    <n v="27017"/>
    <x v="1"/>
    <x v="1"/>
    <x v="14"/>
    <n v="2"/>
    <x v="4"/>
    <x v="4"/>
    <s v="No"/>
    <n v="1"/>
    <x v="2"/>
    <s v="North America"/>
    <x v="40"/>
    <x v="0"/>
    <x v="0"/>
  </r>
  <r>
    <n v="26623"/>
    <x v="1"/>
    <x v="0"/>
    <x v="10"/>
    <n v="2"/>
    <x v="3"/>
    <x v="0"/>
    <s v="Yes"/>
    <n v="3"/>
    <x v="4"/>
    <s v="Pacific"/>
    <x v="30"/>
    <x v="1"/>
    <x v="1"/>
  </r>
  <r>
    <n v="29559"/>
    <x v="1"/>
    <x v="0"/>
    <x v="11"/>
    <n v="5"/>
    <x v="4"/>
    <x v="4"/>
    <s v="Yes"/>
    <n v="4"/>
    <x v="2"/>
    <s v="Europe"/>
    <x v="7"/>
    <x v="1"/>
    <x v="0"/>
  </r>
  <r>
    <n v="14842"/>
    <x v="0"/>
    <x v="1"/>
    <x v="15"/>
    <n v="0"/>
    <x v="4"/>
    <x v="0"/>
    <s v="No"/>
    <n v="2"/>
    <x v="2"/>
    <s v="Europe"/>
    <x v="29"/>
    <x v="0"/>
    <x v="1"/>
  </r>
  <r>
    <n v="23447"/>
    <x v="1"/>
    <x v="1"/>
    <x v="11"/>
    <n v="4"/>
    <x v="1"/>
    <x v="4"/>
    <s v="No"/>
    <n v="3"/>
    <x v="4"/>
    <s v="Pacific"/>
    <x v="12"/>
    <x v="0"/>
    <x v="1"/>
  </r>
  <r>
    <n v="25062"/>
    <x v="1"/>
    <x v="0"/>
    <x v="12"/>
    <n v="1"/>
    <x v="2"/>
    <x v="4"/>
    <s v="Yes"/>
    <n v="2"/>
    <x v="4"/>
    <s v="Pacific"/>
    <x v="27"/>
    <x v="0"/>
    <x v="0"/>
  </r>
  <r>
    <n v="19470"/>
    <x v="0"/>
    <x v="0"/>
    <x v="1"/>
    <n v="4"/>
    <x v="2"/>
    <x v="3"/>
    <s v="No"/>
    <n v="2"/>
    <x v="0"/>
    <s v="North America"/>
    <x v="14"/>
    <x v="1"/>
    <x v="0"/>
  </r>
  <r>
    <n v="22928"/>
    <x v="1"/>
    <x v="1"/>
    <x v="10"/>
    <n v="5"/>
    <x v="2"/>
    <x v="0"/>
    <s v="Yes"/>
    <n v="2"/>
    <x v="2"/>
    <s v="North America"/>
    <x v="3"/>
    <x v="0"/>
    <x v="0"/>
  </r>
  <r>
    <n v="17011"/>
    <x v="0"/>
    <x v="0"/>
    <x v="3"/>
    <n v="0"/>
    <x v="4"/>
    <x v="2"/>
    <s v="Yes"/>
    <n v="1"/>
    <x v="0"/>
    <s v="North America"/>
    <x v="7"/>
    <x v="1"/>
    <x v="1"/>
  </r>
  <r>
    <n v="17629"/>
    <x v="0"/>
    <x v="1"/>
    <x v="11"/>
    <n v="3"/>
    <x v="3"/>
    <x v="2"/>
    <s v="Yes"/>
    <n v="1"/>
    <x v="0"/>
    <s v="North America"/>
    <x v="11"/>
    <x v="0"/>
    <x v="0"/>
  </r>
  <r>
    <n v="25587"/>
    <x v="1"/>
    <x v="1"/>
    <x v="2"/>
    <n v="5"/>
    <x v="2"/>
    <x v="2"/>
    <s v="Yes"/>
    <n v="0"/>
    <x v="4"/>
    <s v="Europe"/>
    <x v="14"/>
    <x v="1"/>
    <x v="1"/>
  </r>
  <r>
    <n v="15736"/>
    <x v="1"/>
    <x v="1"/>
    <x v="0"/>
    <n v="1"/>
    <x v="0"/>
    <x v="3"/>
    <s v="No"/>
    <n v="0"/>
    <x v="0"/>
    <s v="Pacific"/>
    <x v="38"/>
    <x v="1"/>
    <x v="1"/>
  </r>
  <r>
    <n v="20978"/>
    <x v="1"/>
    <x v="0"/>
    <x v="12"/>
    <n v="1"/>
    <x v="4"/>
    <x v="4"/>
    <s v="No"/>
    <n v="2"/>
    <x v="3"/>
    <s v="Europe"/>
    <x v="28"/>
    <x v="0"/>
    <x v="1"/>
  </r>
  <r>
    <n v="25037"/>
    <x v="1"/>
    <x v="1"/>
    <x v="7"/>
    <n v="2"/>
    <x v="0"/>
    <x v="2"/>
    <s v="Yes"/>
    <n v="1"/>
    <x v="4"/>
    <s v="North America"/>
    <x v="5"/>
    <x v="0"/>
    <x v="0"/>
  </r>
  <r>
    <n v="26884"/>
    <x v="1"/>
    <x v="1"/>
    <x v="15"/>
    <n v="1"/>
    <x v="3"/>
    <x v="0"/>
    <s v="No"/>
    <n v="2"/>
    <x v="3"/>
    <s v="Europe"/>
    <x v="3"/>
    <x v="0"/>
    <x v="0"/>
  </r>
  <r>
    <n v="17717"/>
    <x v="1"/>
    <x v="0"/>
    <x v="14"/>
    <n v="5"/>
    <x v="2"/>
    <x v="2"/>
    <s v="Yes"/>
    <n v="2"/>
    <x v="1"/>
    <s v="North America"/>
    <x v="8"/>
    <x v="0"/>
    <x v="1"/>
  </r>
  <r>
    <n v="13873"/>
    <x v="1"/>
    <x v="0"/>
    <x v="1"/>
    <n v="5"/>
    <x v="1"/>
    <x v="3"/>
    <s v="Yes"/>
    <n v="2"/>
    <x v="1"/>
    <s v="North America"/>
    <x v="27"/>
    <x v="0"/>
    <x v="1"/>
  </r>
  <r>
    <n v="14376"/>
    <x v="1"/>
    <x v="1"/>
    <x v="16"/>
    <n v="3"/>
    <x v="3"/>
    <x v="4"/>
    <s v="No"/>
    <n v="4"/>
    <x v="3"/>
    <s v="Europe"/>
    <x v="34"/>
    <x v="1"/>
    <x v="1"/>
  </r>
  <r>
    <n v="27219"/>
    <x v="1"/>
    <x v="0"/>
    <x v="8"/>
    <n v="0"/>
    <x v="0"/>
    <x v="4"/>
    <s v="Yes"/>
    <n v="4"/>
    <x v="4"/>
    <s v="Europe"/>
    <x v="11"/>
    <x v="0"/>
    <x v="0"/>
  </r>
  <r>
    <n v="27050"/>
    <x v="1"/>
    <x v="1"/>
    <x v="12"/>
    <n v="0"/>
    <x v="1"/>
    <x v="4"/>
    <s v="No"/>
    <n v="0"/>
    <x v="2"/>
    <s v="Europe"/>
    <x v="32"/>
    <x v="1"/>
    <x v="0"/>
  </r>
  <r>
    <n v="24968"/>
    <x v="0"/>
    <x v="0"/>
    <x v="3"/>
    <n v="2"/>
    <x v="2"/>
    <x v="0"/>
    <s v="Yes"/>
    <n v="1"/>
    <x v="4"/>
    <s v="Europe"/>
    <x v="36"/>
    <x v="2"/>
    <x v="0"/>
  </r>
  <r>
    <n v="21289"/>
    <x v="0"/>
    <x v="1"/>
    <x v="4"/>
    <n v="2"/>
    <x v="0"/>
    <x v="3"/>
    <s v="No"/>
    <n v="1"/>
    <x v="3"/>
    <s v="North America"/>
    <x v="29"/>
    <x v="0"/>
    <x v="0"/>
  </r>
  <r>
    <n v="22533"/>
    <x v="1"/>
    <x v="0"/>
    <x v="2"/>
    <n v="1"/>
    <x v="3"/>
    <x v="0"/>
    <s v="No"/>
    <n v="0"/>
    <x v="3"/>
    <s v="North America"/>
    <x v="5"/>
    <x v="0"/>
    <x v="1"/>
  </r>
  <r>
    <n v="17297"/>
    <x v="0"/>
    <x v="1"/>
    <x v="0"/>
    <n v="4"/>
    <x v="2"/>
    <x v="3"/>
    <s v="No"/>
    <n v="1"/>
    <x v="3"/>
    <s v="Pacific"/>
    <x v="15"/>
    <x v="0"/>
    <x v="1"/>
  </r>
  <r>
    <n v="19032"/>
    <x v="0"/>
    <x v="1"/>
    <x v="4"/>
    <n v="1"/>
    <x v="0"/>
    <x v="3"/>
    <s v="Yes"/>
    <n v="0"/>
    <x v="0"/>
    <s v="North America"/>
    <x v="36"/>
    <x v="2"/>
    <x v="0"/>
  </r>
  <r>
    <n v="29588"/>
    <x v="0"/>
    <x v="1"/>
    <x v="0"/>
    <n v="1"/>
    <x v="0"/>
    <x v="3"/>
    <s v="Yes"/>
    <n v="0"/>
    <x v="3"/>
    <s v="North America"/>
    <x v="1"/>
    <x v="0"/>
    <x v="1"/>
  </r>
  <r>
    <n v="28877"/>
    <x v="1"/>
    <x v="0"/>
    <x v="3"/>
    <n v="5"/>
    <x v="1"/>
    <x v="2"/>
    <s v="Yes"/>
    <n v="3"/>
    <x v="1"/>
    <s v="Pacific"/>
    <x v="39"/>
    <x v="2"/>
    <x v="1"/>
  </r>
  <r>
    <n v="23998"/>
    <x v="1"/>
    <x v="1"/>
    <x v="1"/>
    <n v="5"/>
    <x v="2"/>
    <x v="3"/>
    <s v="No"/>
    <n v="3"/>
    <x v="3"/>
    <s v="Pacific"/>
    <x v="33"/>
    <x v="0"/>
    <x v="1"/>
  </r>
  <r>
    <n v="27626"/>
    <x v="1"/>
    <x v="1"/>
    <x v="7"/>
    <n v="5"/>
    <x v="1"/>
    <x v="2"/>
    <s v="Yes"/>
    <n v="3"/>
    <x v="0"/>
    <s v="North America"/>
    <x v="2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89E20-9824-4C91-87E8-4B6ED8F45B76}" name="PivotTable1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formats count="1">
    <format dxfId="0">
      <pivotArea outline="0" collapsedLevelsAreSubtotals="1" fieldPosition="0"/>
    </format>
  </format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5FCC7-96B9-4F50-B064-34C3F294DB6C}" name="PivotTable6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1:D84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2">
        <item x="26"/>
        <item x="37"/>
        <item x="36"/>
        <item x="39"/>
        <item x="31"/>
        <item x="25"/>
        <item x="20"/>
        <item x="22"/>
        <item x="6"/>
        <item x="17"/>
        <item x="11"/>
        <item x="4"/>
        <item x="35"/>
        <item x="13"/>
        <item x="27"/>
        <item x="8"/>
        <item x="3"/>
        <item x="0"/>
        <item x="1"/>
        <item x="40"/>
        <item x="12"/>
        <item x="28"/>
        <item x="15"/>
        <item x="23"/>
        <item x="33"/>
        <item x="5"/>
        <item x="29"/>
        <item x="18"/>
        <item x="19"/>
        <item x="9"/>
        <item x="10"/>
        <item x="16"/>
        <item x="32"/>
        <item x="7"/>
        <item x="14"/>
        <item x="2"/>
        <item x="38"/>
        <item x="24"/>
        <item x="34"/>
        <item x="21"/>
        <item x="30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B1EBD-67D8-4DC1-93DC-FB32090B930D}" name="PivotTable4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9:D34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3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22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8" format="23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894E6-38F3-47A1-B39C-47265DD14115}" name="PivotTable3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7:D24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EEBF863A-4CFB-403C-AFE3-D01C73150E3F}" sourceName="Gender">
  <pivotTables>
    <pivotTable tabId="5" name="PivotTable1"/>
    <pivotTable tabId="5" name="PivotTable6"/>
    <pivotTable tabId="5" name="PivotTable4"/>
    <pivotTable tabId="5" name="PivotTable3"/>
  </pivotTables>
  <data>
    <tabular pivotCacheId="1373625714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920D89D5-2784-41A2-8A47-16D68E9BF974}" sourceName="Marital Status">
  <pivotTables>
    <pivotTable tabId="5" name="PivotTable1"/>
    <pivotTable tabId="5" name="PivotTable6"/>
    <pivotTable tabId="5" name="PivotTable4"/>
    <pivotTable tabId="5" name="PivotTable3"/>
  </pivotTables>
  <data>
    <tabular pivotCacheId="1373625714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DD77CEBB-F896-4A5E-9090-3B8E0D2F9DB9}" sourceName="Education">
  <pivotTables>
    <pivotTable tabId="5" name="PivotTable3"/>
    <pivotTable tabId="5" name="PivotTable4"/>
    <pivotTable tabId="5" name="PivotTable1"/>
    <pivotTable tabId="5" name="PivotTable6"/>
  </pivotTables>
  <data>
    <tabular pivotCacheId="1373625714">
      <items count="5">
        <i x="0" s="1"/>
        <i x="4" s="1"/>
        <i x="2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ccupation" xr10:uid="{4CFC4B30-882B-4565-B2D4-055000C8C8AD}" sourceName="Occupation">
  <pivotTables>
    <pivotTable tabId="5" name="PivotTable1"/>
    <pivotTable tabId="5" name="PivotTable6"/>
    <pivotTable tabId="5" name="PivotTable4"/>
    <pivotTable tabId="5" name="PivotTable3"/>
  </pivotTables>
  <data>
    <tabular pivotCacheId="1373625714">
      <items count="5">
        <i x="1" s="1"/>
        <i x="4" s="1"/>
        <i x="3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282EC93D-CC24-407D-9FD7-390EA0B4EB54}" cache="Slicer_Gender" caption="Gende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77A32E5C-091A-4BB8-9718-32D9046F955B}" cache="Slicer_Gender" caption="Gender" rowHeight="228600"/>
  <slicer name="Marital Status" xr10:uid="{F343A20C-7E39-4EDC-B930-D87DA414E425}" cache="Slicer_Marital_Status" caption="Marital Status" rowHeight="228600"/>
  <slicer name="Education" xr10:uid="{1DA84187-7077-4F4B-9CEB-8C4B06AAA6F3}" cache="Slicer_Education" caption="Education" rowHeight="228600"/>
  <slicer name="Occupation" xr10:uid="{47C6054C-FA18-48FC-8CC7-69B5BDDD6121}" cache="Slicer_Occupation" caption="Occupat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"/>
  <sheetViews>
    <sheetView workbookViewId="0">
      <selection activeCell="B5" sqref="B5"/>
    </sheetView>
  </sheetViews>
  <sheetFormatPr defaultRowHeight="15"/>
  <cols>
    <col min="1" max="1" width="12" customWidth="1"/>
    <col min="2" max="2" width="17" customWidth="1"/>
    <col min="3" max="5" width="12" customWidth="1"/>
    <col min="6" max="6" width="19" customWidth="1"/>
    <col min="7" max="7" width="17" customWidth="1"/>
    <col min="8" max="8" width="13" customWidth="1"/>
    <col min="9" max="9" width="12" customWidth="1"/>
    <col min="10" max="10" width="15" customWidth="1"/>
    <col min="11" max="11" width="16" customWidth="1"/>
    <col min="12" max="12" width="12" customWidth="1"/>
    <col min="13" max="13" width="17" customWidth="1"/>
  </cols>
  <sheetData>
    <row r="1" spans="1:13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2</v>
      </c>
      <c r="J22" t="s">
        <v>29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13648</v>
      </c>
      <c r="B27" t="s">
        <v>13</v>
      </c>
      <c r="C27" t="s">
        <v>14</v>
      </c>
      <c r="D27" s="1">
        <v>20000</v>
      </c>
      <c r="E27">
        <v>5</v>
      </c>
      <c r="F27" t="s">
        <v>21</v>
      </c>
      <c r="G27" t="s">
        <v>22</v>
      </c>
      <c r="H27" t="s">
        <v>17</v>
      </c>
      <c r="I27">
        <v>4</v>
      </c>
      <c r="J27" t="s">
        <v>18</v>
      </c>
      <c r="K27" t="s">
        <v>35</v>
      </c>
      <c r="L27">
        <v>52</v>
      </c>
      <c r="M27" t="s">
        <v>17</v>
      </c>
    </row>
    <row r="28" spans="1:13">
      <c r="A28">
        <v>10976</v>
      </c>
      <c r="B28" t="s">
        <v>13</v>
      </c>
      <c r="C28" t="s">
        <v>13</v>
      </c>
      <c r="D28" s="1">
        <v>170000</v>
      </c>
      <c r="E28">
        <v>0</v>
      </c>
      <c r="F28" t="s">
        <v>21</v>
      </c>
      <c r="G28" t="s">
        <v>31</v>
      </c>
      <c r="H28" t="s">
        <v>17</v>
      </c>
      <c r="I28">
        <v>4</v>
      </c>
      <c r="J28" t="s">
        <v>26</v>
      </c>
      <c r="K28" t="s">
        <v>19</v>
      </c>
      <c r="L28">
        <v>53</v>
      </c>
      <c r="M28" t="s">
        <v>20</v>
      </c>
    </row>
    <row r="29" spans="1:13">
      <c r="A29">
        <v>10212</v>
      </c>
      <c r="B29" t="s">
        <v>13</v>
      </c>
      <c r="C29" t="s">
        <v>14</v>
      </c>
      <c r="D29" s="1">
        <v>70000</v>
      </c>
      <c r="E29">
        <v>1</v>
      </c>
      <c r="F29" t="s">
        <v>30</v>
      </c>
      <c r="G29" t="s">
        <v>23</v>
      </c>
      <c r="H29" t="s">
        <v>20</v>
      </c>
      <c r="I29">
        <v>0</v>
      </c>
      <c r="J29" t="s">
        <v>18</v>
      </c>
      <c r="K29" t="s">
        <v>27</v>
      </c>
      <c r="L29">
        <v>31</v>
      </c>
      <c r="M29" t="s">
        <v>20</v>
      </c>
    </row>
    <row r="30" spans="1:13">
      <c r="A30">
        <v>21270</v>
      </c>
      <c r="B30" t="s">
        <v>25</v>
      </c>
      <c r="C30" t="s">
        <v>13</v>
      </c>
      <c r="D30" s="1">
        <v>90000</v>
      </c>
      <c r="E30">
        <v>3</v>
      </c>
      <c r="F30" t="s">
        <v>36</v>
      </c>
      <c r="G30" t="s">
        <v>31</v>
      </c>
      <c r="H30" t="s">
        <v>17</v>
      </c>
      <c r="I30">
        <v>4</v>
      </c>
      <c r="J30" t="s">
        <v>24</v>
      </c>
      <c r="K30" t="s">
        <v>35</v>
      </c>
      <c r="L30">
        <v>64</v>
      </c>
      <c r="M30" t="s">
        <v>20</v>
      </c>
    </row>
    <row r="31" spans="1:13">
      <c r="A31">
        <v>28918</v>
      </c>
      <c r="B31" t="s">
        <v>13</v>
      </c>
      <c r="C31" t="s">
        <v>13</v>
      </c>
      <c r="D31" s="1">
        <v>30000</v>
      </c>
      <c r="E31">
        <v>0</v>
      </c>
      <c r="F31" t="s">
        <v>15</v>
      </c>
      <c r="G31" t="s">
        <v>22</v>
      </c>
      <c r="H31" t="s">
        <v>17</v>
      </c>
      <c r="I31">
        <v>0</v>
      </c>
      <c r="J31" t="s">
        <v>26</v>
      </c>
      <c r="K31" t="s">
        <v>27</v>
      </c>
      <c r="L31">
        <v>54</v>
      </c>
      <c r="M31" t="s">
        <v>20</v>
      </c>
    </row>
    <row r="32" spans="1:13">
      <c r="A32">
        <v>15329</v>
      </c>
      <c r="B32" t="s">
        <v>25</v>
      </c>
      <c r="C32" t="s">
        <v>14</v>
      </c>
      <c r="D32" s="1">
        <v>110000</v>
      </c>
      <c r="E32">
        <v>5</v>
      </c>
      <c r="F32" t="s">
        <v>21</v>
      </c>
      <c r="G32" t="s">
        <v>23</v>
      </c>
      <c r="H32" t="s">
        <v>17</v>
      </c>
      <c r="I32">
        <v>4</v>
      </c>
      <c r="J32" t="s">
        <v>29</v>
      </c>
      <c r="K32" t="s">
        <v>35</v>
      </c>
      <c r="L32">
        <v>40</v>
      </c>
      <c r="M32" t="s">
        <v>17</v>
      </c>
    </row>
    <row r="33" spans="1:13">
      <c r="A33">
        <v>25147</v>
      </c>
      <c r="B33" t="s">
        <v>25</v>
      </c>
      <c r="C33" t="s">
        <v>14</v>
      </c>
      <c r="D33" s="1">
        <v>30000</v>
      </c>
      <c r="E33">
        <v>0</v>
      </c>
      <c r="F33" t="s">
        <v>34</v>
      </c>
      <c r="G33" t="s">
        <v>22</v>
      </c>
      <c r="H33" t="s">
        <v>17</v>
      </c>
      <c r="I33">
        <v>0</v>
      </c>
      <c r="J33" t="s">
        <v>24</v>
      </c>
      <c r="K33" t="s">
        <v>27</v>
      </c>
      <c r="L33">
        <v>42</v>
      </c>
      <c r="M33" t="s">
        <v>17</v>
      </c>
    </row>
    <row r="34" spans="1:13">
      <c r="A34">
        <v>16913</v>
      </c>
      <c r="B34" t="s">
        <v>25</v>
      </c>
      <c r="C34" t="s">
        <v>13</v>
      </c>
      <c r="D34" s="1">
        <v>40000</v>
      </c>
      <c r="E34">
        <v>1</v>
      </c>
      <c r="F34" t="s">
        <v>36</v>
      </c>
      <c r="G34" t="s">
        <v>28</v>
      </c>
      <c r="H34" t="s">
        <v>20</v>
      </c>
      <c r="I34">
        <v>1</v>
      </c>
      <c r="J34" t="s">
        <v>29</v>
      </c>
      <c r="K34" t="s">
        <v>35</v>
      </c>
      <c r="L34">
        <v>60</v>
      </c>
      <c r="M34" t="s">
        <v>20</v>
      </c>
    </row>
    <row r="35" spans="1:13">
      <c r="A35">
        <v>29155</v>
      </c>
      <c r="B35" t="s">
        <v>25</v>
      </c>
      <c r="C35" t="s">
        <v>14</v>
      </c>
      <c r="D35" s="1">
        <v>20000</v>
      </c>
      <c r="E35">
        <v>4</v>
      </c>
      <c r="F35" t="s">
        <v>30</v>
      </c>
      <c r="G35" t="s">
        <v>22</v>
      </c>
      <c r="H35" t="s">
        <v>20</v>
      </c>
      <c r="I35">
        <v>0</v>
      </c>
      <c r="J35" t="s">
        <v>18</v>
      </c>
      <c r="K35" t="s">
        <v>19</v>
      </c>
      <c r="L35">
        <v>34</v>
      </c>
      <c r="M35" t="s">
        <v>17</v>
      </c>
    </row>
    <row r="36" spans="1:13">
      <c r="A36">
        <v>23833</v>
      </c>
      <c r="B36" t="s">
        <v>13</v>
      </c>
      <c r="C36" t="s">
        <v>14</v>
      </c>
      <c r="D36" s="1">
        <v>150000</v>
      </c>
      <c r="E36">
        <v>4</v>
      </c>
      <c r="F36" t="s">
        <v>36</v>
      </c>
      <c r="G36" t="s">
        <v>31</v>
      </c>
      <c r="H36" t="s">
        <v>20</v>
      </c>
      <c r="I36">
        <v>4</v>
      </c>
      <c r="J36" t="s">
        <v>18</v>
      </c>
      <c r="K36" t="s">
        <v>35</v>
      </c>
      <c r="L36">
        <v>32</v>
      </c>
      <c r="M36" t="s">
        <v>20</v>
      </c>
    </row>
    <row r="37" spans="1:13">
      <c r="A37">
        <v>21146</v>
      </c>
      <c r="B37" t="s">
        <v>13</v>
      </c>
      <c r="C37" t="s">
        <v>14</v>
      </c>
      <c r="D37" s="1">
        <v>40000</v>
      </c>
      <c r="E37">
        <v>0</v>
      </c>
      <c r="F37" t="s">
        <v>36</v>
      </c>
      <c r="G37" t="s">
        <v>22</v>
      </c>
      <c r="H37" t="s">
        <v>20</v>
      </c>
      <c r="I37">
        <v>4</v>
      </c>
      <c r="J37" t="s">
        <v>29</v>
      </c>
      <c r="K37" t="s">
        <v>35</v>
      </c>
      <c r="L37">
        <v>31</v>
      </c>
      <c r="M37" t="s">
        <v>20</v>
      </c>
    </row>
    <row r="38" spans="1:13">
      <c r="A38">
        <v>26635</v>
      </c>
      <c r="B38" t="s">
        <v>13</v>
      </c>
      <c r="C38" t="s">
        <v>13</v>
      </c>
      <c r="D38" s="1">
        <v>10000</v>
      </c>
      <c r="E38">
        <v>4</v>
      </c>
      <c r="F38" t="s">
        <v>30</v>
      </c>
      <c r="G38" t="s">
        <v>22</v>
      </c>
      <c r="H38" t="s">
        <v>20</v>
      </c>
      <c r="I38">
        <v>3</v>
      </c>
      <c r="J38" t="s">
        <v>18</v>
      </c>
      <c r="K38" t="s">
        <v>19</v>
      </c>
      <c r="L38">
        <v>48</v>
      </c>
      <c r="M38" t="s">
        <v>20</v>
      </c>
    </row>
    <row r="39" spans="1:13">
      <c r="A39">
        <v>17846</v>
      </c>
      <c r="B39" t="s">
        <v>13</v>
      </c>
      <c r="C39" t="s">
        <v>13</v>
      </c>
      <c r="D39" s="1">
        <v>40000</v>
      </c>
      <c r="E39">
        <v>5</v>
      </c>
      <c r="F39" t="s">
        <v>34</v>
      </c>
      <c r="G39" t="s">
        <v>16</v>
      </c>
      <c r="H39" t="s">
        <v>20</v>
      </c>
      <c r="I39">
        <v>0</v>
      </c>
      <c r="J39" t="s">
        <v>33</v>
      </c>
      <c r="K39" t="s">
        <v>19</v>
      </c>
      <c r="L39">
        <v>33</v>
      </c>
      <c r="M39" t="s">
        <v>20</v>
      </c>
    </row>
    <row r="40" spans="1:13">
      <c r="A40">
        <v>28015</v>
      </c>
      <c r="B40" t="s">
        <v>13</v>
      </c>
      <c r="C40" t="s">
        <v>14</v>
      </c>
      <c r="D40" s="1">
        <v>140000</v>
      </c>
      <c r="E40">
        <v>1</v>
      </c>
      <c r="F40" t="s">
        <v>34</v>
      </c>
      <c r="G40" t="s">
        <v>31</v>
      </c>
      <c r="H40" t="s">
        <v>17</v>
      </c>
      <c r="I40">
        <v>2</v>
      </c>
      <c r="J40" t="s">
        <v>26</v>
      </c>
      <c r="K40" t="s">
        <v>35</v>
      </c>
      <c r="L40">
        <v>48</v>
      </c>
      <c r="M40" t="s">
        <v>20</v>
      </c>
    </row>
    <row r="41" spans="1:13">
      <c r="A41">
        <v>26959</v>
      </c>
      <c r="B41" t="s">
        <v>25</v>
      </c>
      <c r="C41" t="s">
        <v>13</v>
      </c>
      <c r="D41" s="1">
        <v>10000</v>
      </c>
      <c r="E41">
        <v>2</v>
      </c>
      <c r="F41" t="s">
        <v>21</v>
      </c>
      <c r="G41" t="s">
        <v>22</v>
      </c>
      <c r="H41" t="s">
        <v>17</v>
      </c>
      <c r="I41">
        <v>4</v>
      </c>
      <c r="J41" t="s">
        <v>33</v>
      </c>
      <c r="K41" t="s">
        <v>19</v>
      </c>
      <c r="L41">
        <v>62</v>
      </c>
      <c r="M41" t="s">
        <v>17</v>
      </c>
    </row>
    <row r="42" spans="1:13">
      <c r="A42">
        <v>10235</v>
      </c>
      <c r="B42" t="s">
        <v>13</v>
      </c>
      <c r="C42" t="s">
        <v>13</v>
      </c>
      <c r="D42" s="1">
        <v>40000</v>
      </c>
      <c r="E42">
        <v>2</v>
      </c>
      <c r="F42" t="s">
        <v>21</v>
      </c>
      <c r="G42" t="s">
        <v>16</v>
      </c>
      <c r="H42" t="s">
        <v>17</v>
      </c>
      <c r="I42">
        <v>4</v>
      </c>
      <c r="J42" t="s">
        <v>29</v>
      </c>
      <c r="K42" t="s">
        <v>27</v>
      </c>
      <c r="L42">
        <v>56</v>
      </c>
      <c r="M42" t="s">
        <v>17</v>
      </c>
    </row>
    <row r="43" spans="1:13">
      <c r="A43">
        <v>27669</v>
      </c>
      <c r="B43" t="s">
        <v>13</v>
      </c>
      <c r="C43" t="s">
        <v>14</v>
      </c>
      <c r="D43" s="1">
        <v>40000</v>
      </c>
      <c r="E43">
        <v>1</v>
      </c>
      <c r="F43" t="s">
        <v>21</v>
      </c>
      <c r="G43" t="s">
        <v>28</v>
      </c>
      <c r="H43" t="s">
        <v>17</v>
      </c>
      <c r="I43">
        <v>0</v>
      </c>
      <c r="J43" t="s">
        <v>26</v>
      </c>
      <c r="K43" t="s">
        <v>27</v>
      </c>
      <c r="L43">
        <v>52</v>
      </c>
      <c r="M43" t="s">
        <v>20</v>
      </c>
    </row>
    <row r="44" spans="1:13">
      <c r="A44">
        <v>25303</v>
      </c>
      <c r="B44" t="s">
        <v>13</v>
      </c>
      <c r="C44" t="s">
        <v>13</v>
      </c>
      <c r="D44" s="1">
        <v>30000</v>
      </c>
      <c r="E44">
        <v>0</v>
      </c>
      <c r="F44" t="s">
        <v>15</v>
      </c>
      <c r="G44" t="s">
        <v>28</v>
      </c>
      <c r="H44" t="s">
        <v>17</v>
      </c>
      <c r="I44">
        <v>1</v>
      </c>
      <c r="J44" t="s">
        <v>29</v>
      </c>
      <c r="K44" t="s">
        <v>35</v>
      </c>
      <c r="L44">
        <v>53</v>
      </c>
      <c r="M44" t="s">
        <v>17</v>
      </c>
    </row>
    <row r="45" spans="1:13">
      <c r="A45">
        <v>23824</v>
      </c>
      <c r="B45" t="s">
        <v>13</v>
      </c>
      <c r="C45" t="s">
        <v>14</v>
      </c>
      <c r="D45" s="1">
        <v>10000</v>
      </c>
      <c r="E45">
        <v>3</v>
      </c>
      <c r="F45" t="s">
        <v>36</v>
      </c>
      <c r="G45" t="s">
        <v>22</v>
      </c>
      <c r="H45" t="s">
        <v>17</v>
      </c>
      <c r="I45">
        <v>0</v>
      </c>
      <c r="J45" t="s">
        <v>33</v>
      </c>
      <c r="K45" t="s">
        <v>19</v>
      </c>
      <c r="L45">
        <v>30</v>
      </c>
      <c r="M45" t="s">
        <v>17</v>
      </c>
    </row>
    <row r="46" spans="1:13">
      <c r="A46">
        <v>15449</v>
      </c>
      <c r="B46" t="s">
        <v>25</v>
      </c>
      <c r="C46" t="s">
        <v>14</v>
      </c>
      <c r="D46" s="1">
        <v>40000</v>
      </c>
      <c r="E46">
        <v>0</v>
      </c>
      <c r="F46" t="s">
        <v>36</v>
      </c>
      <c r="G46" t="s">
        <v>22</v>
      </c>
      <c r="H46" t="s">
        <v>17</v>
      </c>
      <c r="I46">
        <v>3</v>
      </c>
      <c r="J46" t="s">
        <v>18</v>
      </c>
      <c r="K46" t="s">
        <v>27</v>
      </c>
      <c r="L46">
        <v>41</v>
      </c>
      <c r="M46" t="s">
        <v>20</v>
      </c>
    </row>
    <row r="47" spans="1:13">
      <c r="A47">
        <v>19347</v>
      </c>
      <c r="B47" t="s">
        <v>25</v>
      </c>
      <c r="C47" t="s">
        <v>14</v>
      </c>
      <c r="D47" s="1">
        <v>30000</v>
      </c>
      <c r="E47">
        <v>1</v>
      </c>
      <c r="F47" t="s">
        <v>21</v>
      </c>
      <c r="G47" t="s">
        <v>22</v>
      </c>
      <c r="H47" t="s">
        <v>17</v>
      </c>
      <c r="I47">
        <v>4</v>
      </c>
      <c r="J47" t="s">
        <v>33</v>
      </c>
      <c r="K47" t="s">
        <v>19</v>
      </c>
      <c r="L47">
        <v>45</v>
      </c>
      <c r="M47" t="s">
        <v>17</v>
      </c>
    </row>
    <row r="48" spans="1:13">
      <c r="A48">
        <v>11643</v>
      </c>
      <c r="B48" t="s">
        <v>25</v>
      </c>
      <c r="C48" t="s">
        <v>13</v>
      </c>
      <c r="D48" s="1">
        <v>90000</v>
      </c>
      <c r="E48">
        <v>1</v>
      </c>
      <c r="F48" t="s">
        <v>15</v>
      </c>
      <c r="G48" t="s">
        <v>31</v>
      </c>
      <c r="H48" t="s">
        <v>17</v>
      </c>
      <c r="I48">
        <v>4</v>
      </c>
      <c r="J48" t="s">
        <v>18</v>
      </c>
      <c r="K48" t="s">
        <v>35</v>
      </c>
      <c r="L48">
        <v>40</v>
      </c>
      <c r="M48" t="s">
        <v>20</v>
      </c>
    </row>
    <row r="49" spans="1:13">
      <c r="A49">
        <v>13928</v>
      </c>
      <c r="B49" t="s">
        <v>13</v>
      </c>
      <c r="C49" t="s">
        <v>13</v>
      </c>
      <c r="D49" s="1">
        <v>70000</v>
      </c>
      <c r="E49">
        <v>5</v>
      </c>
      <c r="F49" t="s">
        <v>34</v>
      </c>
      <c r="G49" t="s">
        <v>16</v>
      </c>
      <c r="H49" t="s">
        <v>20</v>
      </c>
      <c r="I49">
        <v>2</v>
      </c>
      <c r="J49" t="s">
        <v>29</v>
      </c>
      <c r="K49" t="s">
        <v>35</v>
      </c>
      <c r="L49">
        <v>45</v>
      </c>
      <c r="M49" t="s">
        <v>17</v>
      </c>
    </row>
    <row r="50" spans="1:13">
      <c r="A50">
        <v>18703</v>
      </c>
      <c r="B50" t="s">
        <v>25</v>
      </c>
      <c r="C50" t="s">
        <v>13</v>
      </c>
      <c r="D50" s="1">
        <v>30000</v>
      </c>
      <c r="E50">
        <v>0</v>
      </c>
      <c r="F50" t="s">
        <v>30</v>
      </c>
      <c r="G50" t="s">
        <v>28</v>
      </c>
      <c r="H50" t="s">
        <v>17</v>
      </c>
      <c r="I50">
        <v>3</v>
      </c>
      <c r="J50" t="s">
        <v>33</v>
      </c>
      <c r="K50" t="s">
        <v>35</v>
      </c>
      <c r="L50">
        <v>31</v>
      </c>
      <c r="M50" t="s">
        <v>17</v>
      </c>
    </row>
    <row r="51" spans="1:13">
      <c r="A51">
        <v>27617</v>
      </c>
      <c r="B51" t="s">
        <v>13</v>
      </c>
      <c r="C51" t="s">
        <v>14</v>
      </c>
      <c r="D51" s="1">
        <v>60000</v>
      </c>
      <c r="E51">
        <v>1</v>
      </c>
      <c r="F51" t="s">
        <v>21</v>
      </c>
      <c r="G51" t="s">
        <v>23</v>
      </c>
      <c r="H51" t="s">
        <v>20</v>
      </c>
      <c r="I51">
        <v>2</v>
      </c>
      <c r="J51" t="s">
        <v>29</v>
      </c>
      <c r="K51" t="s">
        <v>27</v>
      </c>
      <c r="L51">
        <v>59</v>
      </c>
      <c r="M51" t="s">
        <v>20</v>
      </c>
    </row>
    <row r="52" spans="1:13">
      <c r="A52">
        <v>27332</v>
      </c>
      <c r="B52" t="s">
        <v>13</v>
      </c>
      <c r="C52" t="s">
        <v>14</v>
      </c>
      <c r="D52" s="1">
        <v>30000</v>
      </c>
      <c r="E52">
        <v>0</v>
      </c>
      <c r="F52" t="s">
        <v>15</v>
      </c>
      <c r="G52" t="s">
        <v>22</v>
      </c>
      <c r="H52" t="s">
        <v>17</v>
      </c>
      <c r="I52">
        <v>4</v>
      </c>
      <c r="J52" t="s">
        <v>29</v>
      </c>
      <c r="K52" t="s">
        <v>27</v>
      </c>
      <c r="L52">
        <v>43</v>
      </c>
      <c r="M52" t="s">
        <v>17</v>
      </c>
    </row>
    <row r="53" spans="1:13">
      <c r="A53">
        <v>21235</v>
      </c>
      <c r="B53" t="s">
        <v>13</v>
      </c>
      <c r="C53" t="s">
        <v>14</v>
      </c>
      <c r="D53" s="1">
        <v>30000</v>
      </c>
      <c r="E53">
        <v>0</v>
      </c>
      <c r="F53" t="s">
        <v>34</v>
      </c>
      <c r="G53" t="s">
        <v>28</v>
      </c>
      <c r="H53" t="s">
        <v>17</v>
      </c>
      <c r="I53">
        <v>3</v>
      </c>
      <c r="J53" t="s">
        <v>24</v>
      </c>
      <c r="K53" t="s">
        <v>19</v>
      </c>
      <c r="L53">
        <v>25</v>
      </c>
      <c r="M53" t="s">
        <v>20</v>
      </c>
    </row>
    <row r="54" spans="1:13">
      <c r="A54">
        <v>14286</v>
      </c>
      <c r="B54" t="s">
        <v>25</v>
      </c>
      <c r="C54" t="s">
        <v>13</v>
      </c>
      <c r="D54" s="1">
        <v>140000</v>
      </c>
      <c r="E54">
        <v>4</v>
      </c>
      <c r="F54" t="s">
        <v>36</v>
      </c>
      <c r="G54" t="s">
        <v>31</v>
      </c>
      <c r="H54" t="s">
        <v>17</v>
      </c>
      <c r="I54">
        <v>0</v>
      </c>
      <c r="J54" t="s">
        <v>18</v>
      </c>
      <c r="K54" t="s">
        <v>35</v>
      </c>
      <c r="L54">
        <v>34</v>
      </c>
      <c r="M54" t="s">
        <v>17</v>
      </c>
    </row>
    <row r="55" spans="1:13">
      <c r="A55">
        <v>22098</v>
      </c>
      <c r="B55" t="s">
        <v>13</v>
      </c>
      <c r="C55" t="s">
        <v>14</v>
      </c>
      <c r="D55" s="1">
        <v>60000</v>
      </c>
      <c r="E55">
        <v>2</v>
      </c>
      <c r="F55" t="s">
        <v>21</v>
      </c>
      <c r="G55" t="s">
        <v>16</v>
      </c>
      <c r="H55" t="s">
        <v>17</v>
      </c>
      <c r="I55">
        <v>2</v>
      </c>
      <c r="J55" t="s">
        <v>29</v>
      </c>
      <c r="K55" t="s">
        <v>35</v>
      </c>
      <c r="L55">
        <v>40</v>
      </c>
      <c r="M55" t="s">
        <v>17</v>
      </c>
    </row>
    <row r="56" spans="1:13">
      <c r="A56">
        <v>21589</v>
      </c>
      <c r="B56" t="s">
        <v>25</v>
      </c>
      <c r="C56" t="s">
        <v>13</v>
      </c>
      <c r="D56" s="1">
        <v>20000</v>
      </c>
      <c r="E56">
        <v>3</v>
      </c>
      <c r="F56" t="s">
        <v>21</v>
      </c>
      <c r="G56" t="s">
        <v>22</v>
      </c>
      <c r="H56" t="s">
        <v>17</v>
      </c>
      <c r="I56">
        <v>1</v>
      </c>
      <c r="J56" t="s">
        <v>24</v>
      </c>
      <c r="K56" t="s">
        <v>27</v>
      </c>
      <c r="L56">
        <v>40</v>
      </c>
      <c r="M56" t="s">
        <v>20</v>
      </c>
    </row>
    <row r="57" spans="1:13">
      <c r="A57">
        <v>15216</v>
      </c>
      <c r="B57" t="s">
        <v>13</v>
      </c>
      <c r="C57" t="s">
        <v>14</v>
      </c>
      <c r="D57" s="1">
        <v>20000</v>
      </c>
      <c r="E57">
        <v>1</v>
      </c>
      <c r="F57" t="s">
        <v>15</v>
      </c>
      <c r="G57" t="s">
        <v>28</v>
      </c>
      <c r="H57" t="s">
        <v>20</v>
      </c>
      <c r="I57">
        <v>2</v>
      </c>
      <c r="J57" t="s">
        <v>24</v>
      </c>
      <c r="K57" t="s">
        <v>19</v>
      </c>
      <c r="L57">
        <v>39</v>
      </c>
      <c r="M57" t="s">
        <v>17</v>
      </c>
    </row>
    <row r="58" spans="1:13">
      <c r="A58">
        <v>16328</v>
      </c>
      <c r="B58" t="s">
        <v>25</v>
      </c>
      <c r="C58" t="s">
        <v>14</v>
      </c>
      <c r="D58" s="1">
        <v>60000</v>
      </c>
      <c r="E58">
        <v>2</v>
      </c>
      <c r="F58" t="s">
        <v>30</v>
      </c>
      <c r="G58" t="s">
        <v>16</v>
      </c>
      <c r="H58" t="s">
        <v>20</v>
      </c>
      <c r="I58">
        <v>4</v>
      </c>
      <c r="J58" t="s">
        <v>24</v>
      </c>
      <c r="K58" t="s">
        <v>19</v>
      </c>
      <c r="L58">
        <v>32</v>
      </c>
      <c r="M58" t="s">
        <v>20</v>
      </c>
    </row>
    <row r="59" spans="1:13">
      <c r="A59">
        <v>15851</v>
      </c>
      <c r="B59" t="s">
        <v>25</v>
      </c>
      <c r="C59" t="s">
        <v>13</v>
      </c>
      <c r="D59" s="1">
        <v>140000</v>
      </c>
      <c r="E59">
        <v>2</v>
      </c>
      <c r="F59" t="s">
        <v>15</v>
      </c>
      <c r="G59" t="s">
        <v>31</v>
      </c>
      <c r="H59" t="s">
        <v>20</v>
      </c>
      <c r="I59">
        <v>3</v>
      </c>
      <c r="J59" t="s">
        <v>33</v>
      </c>
      <c r="K59" t="s">
        <v>35</v>
      </c>
      <c r="L59">
        <v>32</v>
      </c>
      <c r="M59" t="s">
        <v>20</v>
      </c>
    </row>
    <row r="60" spans="1:13">
      <c r="A60">
        <v>28893</v>
      </c>
      <c r="B60" t="s">
        <v>13</v>
      </c>
      <c r="C60" t="s">
        <v>14</v>
      </c>
      <c r="D60" s="1">
        <v>10000</v>
      </c>
      <c r="E60">
        <v>4</v>
      </c>
      <c r="F60" t="s">
        <v>15</v>
      </c>
      <c r="G60" t="s">
        <v>28</v>
      </c>
      <c r="H60" t="s">
        <v>17</v>
      </c>
      <c r="I60">
        <v>2</v>
      </c>
      <c r="J60" t="s">
        <v>26</v>
      </c>
      <c r="K60" t="s">
        <v>19</v>
      </c>
      <c r="L60">
        <v>46</v>
      </c>
      <c r="M60" t="s">
        <v>20</v>
      </c>
    </row>
    <row r="61" spans="1:13">
      <c r="A61">
        <v>14083</v>
      </c>
      <c r="B61" t="s">
        <v>25</v>
      </c>
      <c r="C61" t="s">
        <v>14</v>
      </c>
      <c r="D61" s="1">
        <v>90000</v>
      </c>
      <c r="E61">
        <v>5</v>
      </c>
      <c r="F61" t="s">
        <v>36</v>
      </c>
      <c r="G61" t="s">
        <v>23</v>
      </c>
      <c r="H61" t="s">
        <v>20</v>
      </c>
      <c r="I61">
        <v>4</v>
      </c>
      <c r="J61" t="s">
        <v>29</v>
      </c>
      <c r="K61" t="s">
        <v>19</v>
      </c>
      <c r="L61">
        <v>51</v>
      </c>
      <c r="M61" t="s">
        <v>20</v>
      </c>
    </row>
    <row r="62" spans="1:13">
      <c r="A62">
        <v>15702</v>
      </c>
      <c r="B62" t="s">
        <v>25</v>
      </c>
      <c r="C62" t="s">
        <v>14</v>
      </c>
      <c r="D62" s="1">
        <v>60000</v>
      </c>
      <c r="E62">
        <v>2</v>
      </c>
      <c r="F62" t="s">
        <v>34</v>
      </c>
      <c r="G62" t="s">
        <v>16</v>
      </c>
      <c r="H62" t="s">
        <v>17</v>
      </c>
      <c r="I62">
        <v>3</v>
      </c>
      <c r="J62" t="s">
        <v>33</v>
      </c>
      <c r="K62" t="s">
        <v>35</v>
      </c>
      <c r="L62">
        <v>45</v>
      </c>
      <c r="M62" t="s">
        <v>20</v>
      </c>
    </row>
    <row r="63" spans="1:13">
      <c r="A63">
        <v>24476</v>
      </c>
      <c r="B63" t="s">
        <v>25</v>
      </c>
      <c r="C63" t="s">
        <v>13</v>
      </c>
      <c r="D63" s="1">
        <v>20000</v>
      </c>
      <c r="E63">
        <v>5</v>
      </c>
      <c r="F63" t="s">
        <v>34</v>
      </c>
      <c r="G63" t="s">
        <v>28</v>
      </c>
      <c r="H63" t="s">
        <v>17</v>
      </c>
      <c r="I63">
        <v>2</v>
      </c>
      <c r="J63" t="s">
        <v>33</v>
      </c>
      <c r="K63" t="s">
        <v>35</v>
      </c>
      <c r="L63">
        <v>65</v>
      </c>
      <c r="M63" t="s">
        <v>20</v>
      </c>
    </row>
    <row r="64" spans="1:13">
      <c r="A64">
        <v>13060</v>
      </c>
      <c r="B64" t="s">
        <v>13</v>
      </c>
      <c r="C64" t="s">
        <v>14</v>
      </c>
      <c r="D64" s="1">
        <v>20000</v>
      </c>
      <c r="E64">
        <v>0</v>
      </c>
      <c r="F64" t="s">
        <v>21</v>
      </c>
      <c r="G64" t="s">
        <v>22</v>
      </c>
      <c r="H64" t="s">
        <v>17</v>
      </c>
      <c r="I64">
        <v>1</v>
      </c>
      <c r="J64" t="s">
        <v>26</v>
      </c>
      <c r="K64" t="s">
        <v>35</v>
      </c>
      <c r="L64">
        <v>29</v>
      </c>
      <c r="M64" t="s">
        <v>20</v>
      </c>
    </row>
    <row r="65" spans="1:13">
      <c r="A65">
        <v>23580</v>
      </c>
      <c r="B65" t="s">
        <v>13</v>
      </c>
      <c r="C65" t="s">
        <v>14</v>
      </c>
      <c r="D65" s="1">
        <v>20000</v>
      </c>
      <c r="E65">
        <v>1</v>
      </c>
      <c r="F65" t="s">
        <v>36</v>
      </c>
      <c r="G65" t="s">
        <v>28</v>
      </c>
      <c r="H65" t="s">
        <v>17</v>
      </c>
      <c r="I65">
        <v>0</v>
      </c>
      <c r="J65" t="s">
        <v>26</v>
      </c>
      <c r="K65" t="s">
        <v>19</v>
      </c>
      <c r="L65">
        <v>36</v>
      </c>
      <c r="M65" t="s">
        <v>20</v>
      </c>
    </row>
    <row r="66" spans="1:13">
      <c r="A66">
        <v>11645</v>
      </c>
      <c r="B66" t="s">
        <v>13</v>
      </c>
      <c r="C66" t="s">
        <v>13</v>
      </c>
      <c r="D66" s="1">
        <v>40000</v>
      </c>
      <c r="E66">
        <v>5</v>
      </c>
      <c r="F66" t="s">
        <v>36</v>
      </c>
      <c r="G66" t="s">
        <v>22</v>
      </c>
      <c r="H66" t="s">
        <v>20</v>
      </c>
      <c r="I66">
        <v>3</v>
      </c>
      <c r="J66" t="s">
        <v>33</v>
      </c>
      <c r="K66" t="s">
        <v>35</v>
      </c>
      <c r="L66">
        <v>57</v>
      </c>
      <c r="M66" t="s">
        <v>20</v>
      </c>
    </row>
    <row r="67" spans="1:13">
      <c r="A67">
        <v>27952</v>
      </c>
      <c r="B67" t="s">
        <v>25</v>
      </c>
      <c r="C67" t="s">
        <v>13</v>
      </c>
      <c r="D67" s="1">
        <v>30000</v>
      </c>
      <c r="E67">
        <v>1</v>
      </c>
      <c r="F67" t="s">
        <v>36</v>
      </c>
      <c r="G67" t="s">
        <v>28</v>
      </c>
      <c r="H67" t="s">
        <v>20</v>
      </c>
      <c r="I67">
        <v>4</v>
      </c>
      <c r="J67" t="s">
        <v>26</v>
      </c>
      <c r="K67" t="s">
        <v>35</v>
      </c>
      <c r="L67">
        <v>40</v>
      </c>
      <c r="M67" t="s">
        <v>20</v>
      </c>
    </row>
    <row r="68" spans="1:13">
      <c r="A68">
        <v>24413</v>
      </c>
      <c r="B68" t="s">
        <v>13</v>
      </c>
      <c r="C68" t="s">
        <v>14</v>
      </c>
      <c r="D68" s="1">
        <v>80000</v>
      </c>
      <c r="E68">
        <v>2</v>
      </c>
      <c r="F68" t="s">
        <v>21</v>
      </c>
      <c r="G68" t="s">
        <v>23</v>
      </c>
      <c r="H68" t="s">
        <v>17</v>
      </c>
      <c r="I68">
        <v>1</v>
      </c>
      <c r="J68" t="s">
        <v>29</v>
      </c>
      <c r="K68" t="s">
        <v>19</v>
      </c>
      <c r="L68">
        <v>49</v>
      </c>
      <c r="M68" t="s">
        <v>17</v>
      </c>
    </row>
    <row r="69" spans="1:13">
      <c r="A69">
        <v>17010</v>
      </c>
      <c r="B69" t="s">
        <v>13</v>
      </c>
      <c r="C69" t="s">
        <v>14</v>
      </c>
      <c r="D69" s="1">
        <v>100000</v>
      </c>
      <c r="E69">
        <v>3</v>
      </c>
      <c r="F69" t="s">
        <v>36</v>
      </c>
      <c r="G69" t="s">
        <v>23</v>
      </c>
      <c r="H69" t="s">
        <v>20</v>
      </c>
      <c r="I69">
        <v>0</v>
      </c>
      <c r="J69" t="s">
        <v>29</v>
      </c>
      <c r="K69" t="s">
        <v>27</v>
      </c>
      <c r="L69">
        <v>49</v>
      </c>
      <c r="M69" t="s">
        <v>17</v>
      </c>
    </row>
    <row r="70" spans="1:13">
      <c r="A70">
        <v>28864</v>
      </c>
      <c r="B70" t="s">
        <v>25</v>
      </c>
      <c r="C70" t="s">
        <v>14</v>
      </c>
      <c r="D70" s="1">
        <v>80000</v>
      </c>
      <c r="E70">
        <v>3</v>
      </c>
      <c r="F70" t="s">
        <v>15</v>
      </c>
      <c r="G70" t="s">
        <v>23</v>
      </c>
      <c r="H70" t="s">
        <v>20</v>
      </c>
      <c r="I70">
        <v>4</v>
      </c>
      <c r="J70" t="s">
        <v>33</v>
      </c>
      <c r="K70" t="s">
        <v>35</v>
      </c>
      <c r="L70">
        <v>39</v>
      </c>
      <c r="M70" t="s">
        <v>20</v>
      </c>
    </row>
    <row r="71" spans="1:13">
      <c r="A71">
        <v>17190</v>
      </c>
      <c r="B71" t="s">
        <v>25</v>
      </c>
      <c r="C71" t="s">
        <v>14</v>
      </c>
      <c r="D71" s="1">
        <v>70000</v>
      </c>
      <c r="E71">
        <v>2</v>
      </c>
      <c r="F71" t="s">
        <v>36</v>
      </c>
      <c r="G71" t="s">
        <v>16</v>
      </c>
      <c r="H71" t="s">
        <v>20</v>
      </c>
      <c r="I71">
        <v>1</v>
      </c>
      <c r="J71" t="s">
        <v>26</v>
      </c>
      <c r="K71" t="s">
        <v>19</v>
      </c>
      <c r="L71">
        <v>64</v>
      </c>
      <c r="M71" t="s">
        <v>17</v>
      </c>
    </row>
    <row r="72" spans="1:13">
      <c r="A72">
        <v>22911</v>
      </c>
      <c r="B72" t="s">
        <v>13</v>
      </c>
      <c r="C72" t="s">
        <v>13</v>
      </c>
      <c r="D72" s="1">
        <v>40000</v>
      </c>
      <c r="E72">
        <v>1</v>
      </c>
      <c r="F72" t="s">
        <v>36</v>
      </c>
      <c r="G72" t="s">
        <v>22</v>
      </c>
      <c r="H72" t="s">
        <v>17</v>
      </c>
      <c r="I72">
        <v>2</v>
      </c>
      <c r="J72" t="s">
        <v>26</v>
      </c>
      <c r="K72" t="s">
        <v>27</v>
      </c>
      <c r="L72">
        <v>38</v>
      </c>
      <c r="M72" t="s">
        <v>20</v>
      </c>
    </row>
    <row r="73" spans="1:13">
      <c r="A73">
        <v>20710</v>
      </c>
      <c r="B73" t="s">
        <v>25</v>
      </c>
      <c r="C73" t="s">
        <v>14</v>
      </c>
      <c r="D73" s="1">
        <v>30000</v>
      </c>
      <c r="E73">
        <v>0</v>
      </c>
      <c r="F73" t="s">
        <v>30</v>
      </c>
      <c r="G73" t="s">
        <v>28</v>
      </c>
      <c r="H73" t="s">
        <v>20</v>
      </c>
      <c r="I73">
        <v>0</v>
      </c>
      <c r="J73" t="s">
        <v>33</v>
      </c>
      <c r="K73" t="s">
        <v>19</v>
      </c>
      <c r="L73">
        <v>47</v>
      </c>
      <c r="M73" t="s">
        <v>17</v>
      </c>
    </row>
    <row r="74" spans="1:13">
      <c r="A74">
        <v>12248</v>
      </c>
      <c r="B74" t="s">
        <v>13</v>
      </c>
      <c r="C74" t="s">
        <v>13</v>
      </c>
      <c r="D74" s="1">
        <v>10000</v>
      </c>
      <c r="E74">
        <v>4</v>
      </c>
      <c r="F74" t="s">
        <v>21</v>
      </c>
      <c r="G74" t="s">
        <v>22</v>
      </c>
      <c r="H74" t="s">
        <v>17</v>
      </c>
      <c r="I74">
        <v>1</v>
      </c>
      <c r="J74" t="s">
        <v>29</v>
      </c>
      <c r="K74" t="s">
        <v>27</v>
      </c>
      <c r="L74">
        <v>32</v>
      </c>
      <c r="M74" t="s">
        <v>17</v>
      </c>
    </row>
    <row r="75" spans="1:13">
      <c r="A75">
        <v>25238</v>
      </c>
      <c r="B75" t="s">
        <v>25</v>
      </c>
      <c r="C75" t="s">
        <v>14</v>
      </c>
      <c r="D75" s="1">
        <v>170000</v>
      </c>
      <c r="E75">
        <v>5</v>
      </c>
      <c r="F75" t="s">
        <v>21</v>
      </c>
      <c r="G75" t="s">
        <v>31</v>
      </c>
      <c r="H75" t="s">
        <v>17</v>
      </c>
      <c r="I75">
        <v>1</v>
      </c>
      <c r="J75" t="s">
        <v>24</v>
      </c>
      <c r="K75" t="s">
        <v>19</v>
      </c>
      <c r="L75">
        <v>62</v>
      </c>
      <c r="M75" t="s">
        <v>17</v>
      </c>
    </row>
    <row r="76" spans="1:13">
      <c r="A76">
        <v>20222</v>
      </c>
      <c r="B76" t="s">
        <v>25</v>
      </c>
      <c r="C76" t="s">
        <v>14</v>
      </c>
      <c r="D76" s="1">
        <v>80000</v>
      </c>
      <c r="E76">
        <v>5</v>
      </c>
      <c r="F76" t="s">
        <v>21</v>
      </c>
      <c r="G76" t="s">
        <v>16</v>
      </c>
      <c r="H76" t="s">
        <v>17</v>
      </c>
      <c r="I76">
        <v>0</v>
      </c>
      <c r="J76" t="s">
        <v>24</v>
      </c>
      <c r="K76" t="s">
        <v>35</v>
      </c>
      <c r="L76">
        <v>63</v>
      </c>
      <c r="M76" t="s">
        <v>17</v>
      </c>
    </row>
    <row r="77" spans="1:13">
      <c r="A77">
        <v>28544</v>
      </c>
      <c r="B77" t="s">
        <v>13</v>
      </c>
      <c r="C77" t="s">
        <v>14</v>
      </c>
      <c r="D77" s="1">
        <v>30000</v>
      </c>
      <c r="E77">
        <v>0</v>
      </c>
      <c r="F77" t="s">
        <v>34</v>
      </c>
      <c r="G77" t="s">
        <v>28</v>
      </c>
      <c r="H77" t="s">
        <v>20</v>
      </c>
      <c r="I77">
        <v>0</v>
      </c>
      <c r="J77" t="s">
        <v>26</v>
      </c>
      <c r="K77" t="s">
        <v>27</v>
      </c>
      <c r="L77">
        <v>31</v>
      </c>
      <c r="M77" t="s">
        <v>20</v>
      </c>
    </row>
    <row r="78" spans="1:13">
      <c r="A78">
        <v>21868</v>
      </c>
      <c r="B78" t="s">
        <v>25</v>
      </c>
      <c r="C78" t="s">
        <v>13</v>
      </c>
      <c r="D78" s="1">
        <v>30000</v>
      </c>
      <c r="E78">
        <v>4</v>
      </c>
      <c r="F78" t="s">
        <v>36</v>
      </c>
      <c r="G78" t="s">
        <v>22</v>
      </c>
      <c r="H78" t="s">
        <v>20</v>
      </c>
      <c r="I78">
        <v>3</v>
      </c>
      <c r="J78" t="s">
        <v>26</v>
      </c>
      <c r="K78" t="s">
        <v>35</v>
      </c>
      <c r="L78">
        <v>62</v>
      </c>
      <c r="M78" t="s">
        <v>20</v>
      </c>
    </row>
    <row r="79" spans="1:13">
      <c r="A79">
        <v>20561</v>
      </c>
      <c r="B79" t="s">
        <v>13</v>
      </c>
      <c r="C79" t="s">
        <v>13</v>
      </c>
      <c r="D79" s="1">
        <v>20000</v>
      </c>
      <c r="E79">
        <v>3</v>
      </c>
      <c r="F79" t="s">
        <v>30</v>
      </c>
      <c r="G79" t="s">
        <v>28</v>
      </c>
      <c r="H79" t="s">
        <v>20</v>
      </c>
      <c r="I79">
        <v>2</v>
      </c>
      <c r="J79" t="s">
        <v>18</v>
      </c>
      <c r="K79" t="s">
        <v>27</v>
      </c>
      <c r="L79">
        <v>45</v>
      </c>
      <c r="M79" t="s">
        <v>17</v>
      </c>
    </row>
    <row r="80" spans="1:13">
      <c r="A80">
        <v>25976</v>
      </c>
      <c r="B80" t="s">
        <v>13</v>
      </c>
      <c r="C80" t="s">
        <v>14</v>
      </c>
      <c r="D80" s="1">
        <v>80000</v>
      </c>
      <c r="E80">
        <v>4</v>
      </c>
      <c r="F80" t="s">
        <v>30</v>
      </c>
      <c r="G80" t="s">
        <v>23</v>
      </c>
      <c r="H80" t="s">
        <v>20</v>
      </c>
      <c r="I80">
        <v>4</v>
      </c>
      <c r="J80" t="s">
        <v>18</v>
      </c>
      <c r="K80" t="s">
        <v>35</v>
      </c>
      <c r="L80">
        <v>37</v>
      </c>
      <c r="M80" t="s">
        <v>17</v>
      </c>
    </row>
    <row r="81" spans="1:13">
      <c r="A81">
        <v>17908</v>
      </c>
      <c r="B81" t="s">
        <v>25</v>
      </c>
      <c r="C81" t="s">
        <v>14</v>
      </c>
      <c r="D81" s="1">
        <v>40000</v>
      </c>
      <c r="E81">
        <v>5</v>
      </c>
      <c r="F81" t="s">
        <v>34</v>
      </c>
      <c r="G81" t="s">
        <v>22</v>
      </c>
      <c r="H81" t="s">
        <v>20</v>
      </c>
      <c r="I81">
        <v>3</v>
      </c>
      <c r="J81" t="s">
        <v>18</v>
      </c>
      <c r="K81" t="s">
        <v>19</v>
      </c>
      <c r="L81">
        <v>43</v>
      </c>
      <c r="M81" t="s">
        <v>17</v>
      </c>
    </row>
    <row r="82" spans="1:13">
      <c r="A82">
        <v>23251</v>
      </c>
      <c r="B82" t="s">
        <v>13</v>
      </c>
      <c r="C82" t="s">
        <v>14</v>
      </c>
      <c r="D82" s="1">
        <v>90000</v>
      </c>
      <c r="E82">
        <v>4</v>
      </c>
      <c r="F82" t="s">
        <v>34</v>
      </c>
      <c r="G82" t="s">
        <v>23</v>
      </c>
      <c r="H82" t="s">
        <v>20</v>
      </c>
      <c r="I82">
        <v>3</v>
      </c>
      <c r="J82" t="s">
        <v>33</v>
      </c>
      <c r="K82" t="s">
        <v>27</v>
      </c>
      <c r="L82">
        <v>47</v>
      </c>
      <c r="M82" t="s">
        <v>20</v>
      </c>
    </row>
    <row r="83" spans="1:13">
      <c r="A83">
        <v>18877</v>
      </c>
      <c r="B83" t="s">
        <v>25</v>
      </c>
      <c r="C83" t="s">
        <v>14</v>
      </c>
      <c r="D83" s="1">
        <v>50000</v>
      </c>
      <c r="E83">
        <v>2</v>
      </c>
      <c r="F83" t="s">
        <v>21</v>
      </c>
      <c r="G83" t="s">
        <v>16</v>
      </c>
      <c r="H83" t="s">
        <v>17</v>
      </c>
      <c r="I83">
        <v>4</v>
      </c>
      <c r="J83" t="s">
        <v>29</v>
      </c>
      <c r="K83" t="s">
        <v>19</v>
      </c>
      <c r="L83">
        <v>38</v>
      </c>
      <c r="M83" t="s">
        <v>20</v>
      </c>
    </row>
    <row r="84" spans="1:13">
      <c r="A84">
        <v>19060</v>
      </c>
      <c r="B84" t="s">
        <v>25</v>
      </c>
      <c r="C84" t="s">
        <v>13</v>
      </c>
      <c r="D84" s="1">
        <v>70000</v>
      </c>
      <c r="E84">
        <v>2</v>
      </c>
      <c r="F84" t="s">
        <v>21</v>
      </c>
      <c r="G84" t="s">
        <v>23</v>
      </c>
      <c r="H84" t="s">
        <v>17</v>
      </c>
      <c r="I84">
        <v>2</v>
      </c>
      <c r="J84" t="s">
        <v>18</v>
      </c>
      <c r="K84" t="s">
        <v>35</v>
      </c>
      <c r="L84">
        <v>59</v>
      </c>
      <c r="M84" t="s">
        <v>17</v>
      </c>
    </row>
    <row r="85" spans="1:13">
      <c r="A85">
        <v>18988</v>
      </c>
      <c r="B85" t="s">
        <v>13</v>
      </c>
      <c r="C85" t="s">
        <v>13</v>
      </c>
      <c r="D85" s="1">
        <v>110000</v>
      </c>
      <c r="E85">
        <v>1</v>
      </c>
      <c r="F85" t="s">
        <v>34</v>
      </c>
      <c r="G85" t="s">
        <v>23</v>
      </c>
      <c r="H85" t="s">
        <v>20</v>
      </c>
      <c r="I85">
        <v>0</v>
      </c>
      <c r="J85" t="s">
        <v>18</v>
      </c>
      <c r="K85" t="s">
        <v>35</v>
      </c>
      <c r="L85">
        <v>43</v>
      </c>
      <c r="M85" t="s">
        <v>20</v>
      </c>
    </row>
    <row r="86" spans="1:13">
      <c r="A86">
        <v>25686</v>
      </c>
      <c r="B86" t="s">
        <v>25</v>
      </c>
      <c r="C86" t="s">
        <v>14</v>
      </c>
      <c r="D86" s="1">
        <v>60000</v>
      </c>
      <c r="E86">
        <v>3</v>
      </c>
      <c r="F86" t="s">
        <v>21</v>
      </c>
      <c r="G86" t="s">
        <v>16</v>
      </c>
      <c r="H86" t="s">
        <v>17</v>
      </c>
      <c r="I86">
        <v>0</v>
      </c>
      <c r="J86" t="s">
        <v>26</v>
      </c>
      <c r="K86" t="s">
        <v>27</v>
      </c>
      <c r="L86">
        <v>29</v>
      </c>
      <c r="M86" t="s">
        <v>17</v>
      </c>
    </row>
    <row r="87" spans="1:13">
      <c r="A87">
        <v>14971</v>
      </c>
      <c r="B87" t="s">
        <v>13</v>
      </c>
      <c r="C87" t="s">
        <v>14</v>
      </c>
      <c r="D87" s="1">
        <v>10000</v>
      </c>
      <c r="E87">
        <v>4</v>
      </c>
      <c r="F87" t="s">
        <v>15</v>
      </c>
      <c r="G87" t="s">
        <v>22</v>
      </c>
      <c r="H87" t="s">
        <v>20</v>
      </c>
      <c r="I87">
        <v>4</v>
      </c>
      <c r="J87" t="s">
        <v>33</v>
      </c>
      <c r="K87" t="s">
        <v>35</v>
      </c>
      <c r="L87">
        <v>39</v>
      </c>
      <c r="M87" t="s">
        <v>20</v>
      </c>
    </row>
    <row r="88" spans="1:13">
      <c r="A88">
        <v>24762</v>
      </c>
      <c r="B88" t="s">
        <v>25</v>
      </c>
      <c r="C88" t="s">
        <v>14</v>
      </c>
      <c r="D88" s="1">
        <v>30000</v>
      </c>
      <c r="E88">
        <v>4</v>
      </c>
      <c r="F88" t="s">
        <v>34</v>
      </c>
      <c r="G88" t="s">
        <v>28</v>
      </c>
      <c r="H88" t="s">
        <v>17</v>
      </c>
      <c r="I88">
        <v>4</v>
      </c>
      <c r="J88" t="s">
        <v>18</v>
      </c>
      <c r="K88" t="s">
        <v>19</v>
      </c>
      <c r="L88">
        <v>65</v>
      </c>
      <c r="M88" t="s">
        <v>17</v>
      </c>
    </row>
    <row r="89" spans="1:13">
      <c r="A89">
        <v>18671</v>
      </c>
      <c r="B89" t="s">
        <v>13</v>
      </c>
      <c r="C89" t="s">
        <v>13</v>
      </c>
      <c r="D89" s="1">
        <v>10000</v>
      </c>
      <c r="E89">
        <v>1</v>
      </c>
      <c r="F89" t="s">
        <v>21</v>
      </c>
      <c r="G89" t="s">
        <v>22</v>
      </c>
      <c r="H89" t="s">
        <v>17</v>
      </c>
      <c r="I89">
        <v>3</v>
      </c>
      <c r="J89" t="s">
        <v>26</v>
      </c>
      <c r="K89" t="s">
        <v>35</v>
      </c>
      <c r="L89">
        <v>63</v>
      </c>
      <c r="M89" t="s">
        <v>20</v>
      </c>
    </row>
    <row r="90" spans="1:13">
      <c r="A90">
        <v>19543</v>
      </c>
      <c r="B90" t="s">
        <v>13</v>
      </c>
      <c r="C90" t="s">
        <v>13</v>
      </c>
      <c r="D90" s="1">
        <v>110000</v>
      </c>
      <c r="E90">
        <v>3</v>
      </c>
      <c r="F90" t="s">
        <v>30</v>
      </c>
      <c r="G90" t="s">
        <v>23</v>
      </c>
      <c r="H90" t="s">
        <v>17</v>
      </c>
      <c r="I90">
        <v>1</v>
      </c>
      <c r="J90" t="s">
        <v>24</v>
      </c>
      <c r="K90" t="s">
        <v>35</v>
      </c>
      <c r="L90">
        <v>62</v>
      </c>
      <c r="M90" t="s">
        <v>17</v>
      </c>
    </row>
    <row r="91" spans="1:13">
      <c r="A91">
        <v>23930</v>
      </c>
      <c r="B91" t="s">
        <v>13</v>
      </c>
      <c r="C91" t="s">
        <v>13</v>
      </c>
      <c r="D91" s="1">
        <v>120000</v>
      </c>
      <c r="E91">
        <v>1</v>
      </c>
      <c r="F91" t="s">
        <v>21</v>
      </c>
      <c r="G91" t="s">
        <v>23</v>
      </c>
      <c r="H91" t="s">
        <v>17</v>
      </c>
      <c r="I91">
        <v>0</v>
      </c>
      <c r="J91" t="s">
        <v>29</v>
      </c>
      <c r="K91" t="s">
        <v>27</v>
      </c>
      <c r="L91">
        <v>63</v>
      </c>
      <c r="M91" t="s">
        <v>20</v>
      </c>
    </row>
    <row r="92" spans="1:13">
      <c r="A92">
        <v>24390</v>
      </c>
      <c r="B92" t="s">
        <v>13</v>
      </c>
      <c r="C92" t="s">
        <v>14</v>
      </c>
      <c r="D92" s="1">
        <v>30000</v>
      </c>
      <c r="E92">
        <v>4</v>
      </c>
      <c r="F92" t="s">
        <v>30</v>
      </c>
      <c r="G92" t="s">
        <v>28</v>
      </c>
      <c r="H92" t="s">
        <v>20</v>
      </c>
      <c r="I92">
        <v>3</v>
      </c>
      <c r="J92" t="s">
        <v>18</v>
      </c>
      <c r="K92" t="s">
        <v>35</v>
      </c>
      <c r="L92">
        <v>27</v>
      </c>
      <c r="M92" t="s">
        <v>20</v>
      </c>
    </row>
    <row r="93" spans="1:13">
      <c r="A93">
        <v>29782</v>
      </c>
      <c r="B93" t="s">
        <v>25</v>
      </c>
      <c r="C93" t="s">
        <v>13</v>
      </c>
      <c r="D93" s="1">
        <v>10000</v>
      </c>
      <c r="E93">
        <v>5</v>
      </c>
      <c r="F93" t="s">
        <v>15</v>
      </c>
      <c r="G93" t="s">
        <v>22</v>
      </c>
      <c r="H93" t="s">
        <v>20</v>
      </c>
      <c r="I93">
        <v>4</v>
      </c>
      <c r="J93" t="s">
        <v>18</v>
      </c>
      <c r="K93" t="s">
        <v>19</v>
      </c>
      <c r="L93">
        <v>55</v>
      </c>
      <c r="M93" t="s">
        <v>20</v>
      </c>
    </row>
    <row r="94" spans="1:13">
      <c r="A94">
        <v>19114</v>
      </c>
      <c r="B94" t="s">
        <v>13</v>
      </c>
      <c r="C94" t="s">
        <v>14</v>
      </c>
      <c r="D94" s="1">
        <v>70000</v>
      </c>
      <c r="E94">
        <v>2</v>
      </c>
      <c r="F94" t="s">
        <v>36</v>
      </c>
      <c r="G94" t="s">
        <v>16</v>
      </c>
      <c r="H94" t="s">
        <v>20</v>
      </c>
      <c r="I94">
        <v>2</v>
      </c>
      <c r="J94" t="s">
        <v>24</v>
      </c>
      <c r="K94" t="s">
        <v>35</v>
      </c>
      <c r="L94">
        <v>31</v>
      </c>
      <c r="M94" t="s">
        <v>17</v>
      </c>
    </row>
    <row r="95" spans="1:13">
      <c r="A95">
        <v>20807</v>
      </c>
      <c r="B95" t="s">
        <v>25</v>
      </c>
      <c r="C95" t="s">
        <v>14</v>
      </c>
      <c r="D95" s="1">
        <v>10000</v>
      </c>
      <c r="E95">
        <v>3</v>
      </c>
      <c r="F95" t="s">
        <v>30</v>
      </c>
      <c r="G95" t="s">
        <v>28</v>
      </c>
      <c r="H95" t="s">
        <v>17</v>
      </c>
      <c r="I95">
        <v>2</v>
      </c>
      <c r="J95" t="s">
        <v>24</v>
      </c>
      <c r="K95" t="s">
        <v>27</v>
      </c>
      <c r="L95">
        <v>32</v>
      </c>
      <c r="M95" t="s">
        <v>20</v>
      </c>
    </row>
    <row r="96" spans="1:13">
      <c r="A96">
        <v>26862</v>
      </c>
      <c r="B96" t="s">
        <v>13</v>
      </c>
      <c r="C96" t="s">
        <v>14</v>
      </c>
      <c r="D96" s="1">
        <v>50000</v>
      </c>
      <c r="E96">
        <v>4</v>
      </c>
      <c r="F96" t="s">
        <v>36</v>
      </c>
      <c r="G96" t="s">
        <v>16</v>
      </c>
      <c r="H96" t="s">
        <v>20</v>
      </c>
      <c r="I96">
        <v>4</v>
      </c>
      <c r="J96" t="s">
        <v>26</v>
      </c>
      <c r="K96" t="s">
        <v>35</v>
      </c>
      <c r="L96">
        <v>53</v>
      </c>
      <c r="M96" t="s">
        <v>17</v>
      </c>
    </row>
    <row r="97" spans="1:13">
      <c r="A97">
        <v>16670</v>
      </c>
      <c r="B97" t="s">
        <v>25</v>
      </c>
      <c r="C97" t="s">
        <v>13</v>
      </c>
      <c r="D97" s="1">
        <v>40000</v>
      </c>
      <c r="E97">
        <v>0</v>
      </c>
      <c r="F97" t="s">
        <v>30</v>
      </c>
      <c r="G97" t="s">
        <v>28</v>
      </c>
      <c r="H97" t="s">
        <v>17</v>
      </c>
      <c r="I97">
        <v>4</v>
      </c>
      <c r="J97" t="s">
        <v>29</v>
      </c>
      <c r="K97" t="s">
        <v>35</v>
      </c>
      <c r="L97">
        <v>35</v>
      </c>
      <c r="M97" t="s">
        <v>20</v>
      </c>
    </row>
    <row r="98" spans="1:13">
      <c r="A98">
        <v>28049</v>
      </c>
      <c r="B98" t="s">
        <v>13</v>
      </c>
      <c r="C98" t="s">
        <v>14</v>
      </c>
      <c r="D98" s="1">
        <v>10000</v>
      </c>
      <c r="E98">
        <v>3</v>
      </c>
      <c r="F98" t="s">
        <v>15</v>
      </c>
      <c r="G98" t="s">
        <v>22</v>
      </c>
      <c r="H98" t="s">
        <v>17</v>
      </c>
      <c r="I98">
        <v>1</v>
      </c>
      <c r="J98" t="s">
        <v>26</v>
      </c>
      <c r="K98" t="s">
        <v>35</v>
      </c>
      <c r="L98">
        <v>43</v>
      </c>
      <c r="M98" t="s">
        <v>20</v>
      </c>
    </row>
    <row r="99" spans="1:13">
      <c r="A99">
        <v>23614</v>
      </c>
      <c r="B99" t="s">
        <v>25</v>
      </c>
      <c r="C99" t="s">
        <v>14</v>
      </c>
      <c r="D99" s="1">
        <v>20000</v>
      </c>
      <c r="E99">
        <v>3</v>
      </c>
      <c r="F99" t="s">
        <v>21</v>
      </c>
      <c r="G99" t="s">
        <v>28</v>
      </c>
      <c r="H99" t="s">
        <v>17</v>
      </c>
      <c r="I99">
        <v>4</v>
      </c>
      <c r="J99" t="s">
        <v>33</v>
      </c>
      <c r="K99" t="s">
        <v>35</v>
      </c>
      <c r="L99">
        <v>33</v>
      </c>
      <c r="M99" t="s">
        <v>17</v>
      </c>
    </row>
    <row r="100" spans="1:13">
      <c r="A100">
        <v>19052</v>
      </c>
      <c r="B100" t="s">
        <v>25</v>
      </c>
      <c r="C100" t="s">
        <v>14</v>
      </c>
      <c r="D100" s="1">
        <v>120000</v>
      </c>
      <c r="E100">
        <v>0</v>
      </c>
      <c r="F100" t="s">
        <v>34</v>
      </c>
      <c r="G100" t="s">
        <v>23</v>
      </c>
      <c r="H100" t="s">
        <v>20</v>
      </c>
      <c r="I100">
        <v>2</v>
      </c>
      <c r="J100" t="s">
        <v>33</v>
      </c>
      <c r="K100" t="s">
        <v>35</v>
      </c>
      <c r="L100">
        <v>56</v>
      </c>
      <c r="M100" t="s">
        <v>17</v>
      </c>
    </row>
    <row r="101" spans="1:13">
      <c r="A101">
        <v>24632</v>
      </c>
      <c r="B101" t="s">
        <v>25</v>
      </c>
      <c r="C101" t="s">
        <v>14</v>
      </c>
      <c r="D101" s="1">
        <v>160000</v>
      </c>
      <c r="E101">
        <v>3</v>
      </c>
      <c r="F101" t="s">
        <v>30</v>
      </c>
      <c r="G101" t="s">
        <v>31</v>
      </c>
      <c r="H101" t="s">
        <v>20</v>
      </c>
      <c r="I101">
        <v>2</v>
      </c>
      <c r="J101" t="s">
        <v>29</v>
      </c>
      <c r="K101" t="s">
        <v>35</v>
      </c>
      <c r="L101">
        <v>40</v>
      </c>
      <c r="M101" t="s">
        <v>20</v>
      </c>
    </row>
    <row r="102" spans="1:13">
      <c r="A102">
        <v>17653</v>
      </c>
      <c r="B102" t="s">
        <v>25</v>
      </c>
      <c r="C102" t="s">
        <v>13</v>
      </c>
      <c r="D102" s="1">
        <v>40000</v>
      </c>
      <c r="E102">
        <v>3</v>
      </c>
      <c r="F102" t="s">
        <v>30</v>
      </c>
      <c r="G102" t="s">
        <v>28</v>
      </c>
      <c r="H102" t="s">
        <v>17</v>
      </c>
      <c r="I102">
        <v>3</v>
      </c>
      <c r="J102" t="s">
        <v>18</v>
      </c>
      <c r="K102" t="s">
        <v>19</v>
      </c>
      <c r="L102">
        <v>57</v>
      </c>
      <c r="M102" t="s">
        <v>20</v>
      </c>
    </row>
    <row r="103" spans="1:13">
      <c r="A103">
        <v>13288</v>
      </c>
      <c r="B103" t="s">
        <v>25</v>
      </c>
      <c r="C103" t="s">
        <v>13</v>
      </c>
      <c r="D103" s="1">
        <v>10000</v>
      </c>
      <c r="E103">
        <v>5</v>
      </c>
      <c r="F103" t="s">
        <v>34</v>
      </c>
      <c r="G103" t="s">
        <v>28</v>
      </c>
      <c r="H103" t="s">
        <v>17</v>
      </c>
      <c r="I103">
        <v>3</v>
      </c>
      <c r="J103" t="s">
        <v>29</v>
      </c>
      <c r="K103" t="s">
        <v>19</v>
      </c>
      <c r="L103">
        <v>55</v>
      </c>
      <c r="M103" t="s">
        <v>20</v>
      </c>
    </row>
    <row r="104" spans="1:13">
      <c r="A104">
        <v>21093</v>
      </c>
      <c r="B104" t="s">
        <v>25</v>
      </c>
      <c r="C104" t="s">
        <v>13</v>
      </c>
      <c r="D104" s="1">
        <v>140000</v>
      </c>
      <c r="E104">
        <v>2</v>
      </c>
      <c r="F104" t="s">
        <v>30</v>
      </c>
      <c r="G104" t="s">
        <v>31</v>
      </c>
      <c r="H104" t="s">
        <v>20</v>
      </c>
      <c r="I104">
        <v>4</v>
      </c>
      <c r="J104" t="s">
        <v>18</v>
      </c>
      <c r="K104" t="s">
        <v>35</v>
      </c>
      <c r="L104">
        <v>29</v>
      </c>
      <c r="M104" t="s">
        <v>17</v>
      </c>
    </row>
    <row r="105" spans="1:13">
      <c r="A105">
        <v>19416</v>
      </c>
      <c r="B105" t="s">
        <v>13</v>
      </c>
      <c r="C105" t="s">
        <v>13</v>
      </c>
      <c r="D105" s="1">
        <v>40000</v>
      </c>
      <c r="E105">
        <v>3</v>
      </c>
      <c r="F105" t="s">
        <v>36</v>
      </c>
      <c r="G105" t="s">
        <v>16</v>
      </c>
      <c r="H105" t="s">
        <v>17</v>
      </c>
      <c r="I105">
        <v>2</v>
      </c>
      <c r="J105" t="s">
        <v>18</v>
      </c>
      <c r="K105" t="s">
        <v>19</v>
      </c>
      <c r="L105">
        <v>45</v>
      </c>
      <c r="M105" t="s">
        <v>17</v>
      </c>
    </row>
    <row r="106" spans="1:13">
      <c r="A106">
        <v>19613</v>
      </c>
      <c r="B106" t="s">
        <v>25</v>
      </c>
      <c r="C106" t="s">
        <v>14</v>
      </c>
      <c r="D106" s="1">
        <v>20000</v>
      </c>
      <c r="E106">
        <v>4</v>
      </c>
      <c r="F106" t="s">
        <v>36</v>
      </c>
      <c r="G106" t="s">
        <v>22</v>
      </c>
      <c r="H106" t="s">
        <v>20</v>
      </c>
      <c r="I106">
        <v>4</v>
      </c>
      <c r="J106" t="s">
        <v>29</v>
      </c>
      <c r="K106" t="s">
        <v>19</v>
      </c>
      <c r="L106">
        <v>36</v>
      </c>
      <c r="M106" t="s">
        <v>17</v>
      </c>
    </row>
    <row r="107" spans="1:13">
      <c r="A107">
        <v>29971</v>
      </c>
      <c r="B107" t="s">
        <v>25</v>
      </c>
      <c r="C107" t="s">
        <v>13</v>
      </c>
      <c r="D107" s="1">
        <v>100000</v>
      </c>
      <c r="E107">
        <v>1</v>
      </c>
      <c r="F107" t="s">
        <v>36</v>
      </c>
      <c r="G107" t="s">
        <v>31</v>
      </c>
      <c r="H107" t="s">
        <v>20</v>
      </c>
      <c r="I107">
        <v>2</v>
      </c>
      <c r="J107" t="s">
        <v>26</v>
      </c>
      <c r="K107" t="s">
        <v>27</v>
      </c>
      <c r="L107">
        <v>25</v>
      </c>
      <c r="M107" t="s">
        <v>20</v>
      </c>
    </row>
    <row r="108" spans="1:13">
      <c r="A108">
        <v>19425</v>
      </c>
      <c r="B108" t="s">
        <v>13</v>
      </c>
      <c r="C108" t="s">
        <v>13</v>
      </c>
      <c r="D108" s="1">
        <v>100000</v>
      </c>
      <c r="E108">
        <v>2</v>
      </c>
      <c r="F108" t="s">
        <v>36</v>
      </c>
      <c r="G108" t="s">
        <v>23</v>
      </c>
      <c r="H108" t="s">
        <v>20</v>
      </c>
      <c r="I108">
        <v>2</v>
      </c>
      <c r="J108" t="s">
        <v>26</v>
      </c>
      <c r="K108" t="s">
        <v>27</v>
      </c>
      <c r="L108">
        <v>37</v>
      </c>
      <c r="M108" t="s">
        <v>20</v>
      </c>
    </row>
    <row r="109" spans="1:13">
      <c r="A109">
        <v>25833</v>
      </c>
      <c r="B109" t="s">
        <v>13</v>
      </c>
      <c r="C109" t="s">
        <v>13</v>
      </c>
      <c r="D109" s="1">
        <v>130000</v>
      </c>
      <c r="E109">
        <v>4</v>
      </c>
      <c r="F109" t="s">
        <v>36</v>
      </c>
      <c r="G109" t="s">
        <v>31</v>
      </c>
      <c r="H109" t="s">
        <v>20</v>
      </c>
      <c r="I109">
        <v>2</v>
      </c>
      <c r="J109" t="s">
        <v>18</v>
      </c>
      <c r="K109" t="s">
        <v>35</v>
      </c>
      <c r="L109">
        <v>50</v>
      </c>
      <c r="M109" t="s">
        <v>20</v>
      </c>
    </row>
    <row r="110" spans="1:13">
      <c r="A110">
        <v>10265</v>
      </c>
      <c r="B110" t="s">
        <v>13</v>
      </c>
      <c r="C110" t="s">
        <v>14</v>
      </c>
      <c r="D110" s="1">
        <v>30000</v>
      </c>
      <c r="E110">
        <v>1</v>
      </c>
      <c r="F110" t="s">
        <v>30</v>
      </c>
      <c r="G110" t="s">
        <v>22</v>
      </c>
      <c r="H110" t="s">
        <v>17</v>
      </c>
      <c r="I110">
        <v>4</v>
      </c>
      <c r="J110" t="s">
        <v>24</v>
      </c>
      <c r="K110" t="s">
        <v>35</v>
      </c>
      <c r="L110">
        <v>33</v>
      </c>
      <c r="M110" t="s">
        <v>17</v>
      </c>
    </row>
    <row r="111" spans="1:13">
      <c r="A111">
        <v>11291</v>
      </c>
      <c r="B111" t="s">
        <v>25</v>
      </c>
      <c r="C111" t="s">
        <v>14</v>
      </c>
      <c r="D111" s="1">
        <v>130000</v>
      </c>
      <c r="E111">
        <v>5</v>
      </c>
      <c r="F111" t="s">
        <v>15</v>
      </c>
      <c r="G111" t="s">
        <v>31</v>
      </c>
      <c r="H111" t="s">
        <v>17</v>
      </c>
      <c r="I111">
        <v>0</v>
      </c>
      <c r="J111" t="s">
        <v>24</v>
      </c>
      <c r="K111" t="s">
        <v>27</v>
      </c>
      <c r="L111">
        <v>51</v>
      </c>
      <c r="M111" t="s">
        <v>17</v>
      </c>
    </row>
    <row r="112" spans="1:13">
      <c r="A112">
        <v>16579</v>
      </c>
      <c r="B112" t="s">
        <v>13</v>
      </c>
      <c r="C112" t="s">
        <v>14</v>
      </c>
      <c r="D112" s="1">
        <v>120000</v>
      </c>
      <c r="E112">
        <v>1</v>
      </c>
      <c r="F112" t="s">
        <v>34</v>
      </c>
      <c r="G112" t="s">
        <v>31</v>
      </c>
      <c r="H112" t="s">
        <v>20</v>
      </c>
      <c r="I112">
        <v>3</v>
      </c>
      <c r="J112" t="s">
        <v>24</v>
      </c>
      <c r="K112" t="s">
        <v>35</v>
      </c>
      <c r="L112">
        <v>46</v>
      </c>
      <c r="M112" t="s">
        <v>17</v>
      </c>
    </row>
    <row r="113" spans="1:13">
      <c r="A113">
        <v>25346</v>
      </c>
      <c r="B113" t="s">
        <v>13</v>
      </c>
      <c r="C113" t="s">
        <v>13</v>
      </c>
      <c r="D113" s="1">
        <v>30000</v>
      </c>
      <c r="E113">
        <v>0</v>
      </c>
      <c r="F113" t="s">
        <v>21</v>
      </c>
      <c r="G113" t="s">
        <v>28</v>
      </c>
      <c r="H113" t="s">
        <v>20</v>
      </c>
      <c r="I113">
        <v>0</v>
      </c>
      <c r="J113" t="s">
        <v>24</v>
      </c>
      <c r="K113" t="s">
        <v>35</v>
      </c>
      <c r="L113">
        <v>32</v>
      </c>
      <c r="M113" t="s">
        <v>20</v>
      </c>
    </row>
    <row r="114" spans="1:13">
      <c r="A114">
        <v>22077</v>
      </c>
      <c r="B114" t="s">
        <v>25</v>
      </c>
      <c r="C114" t="s">
        <v>14</v>
      </c>
      <c r="D114" s="1">
        <v>50000</v>
      </c>
      <c r="E114">
        <v>3</v>
      </c>
      <c r="F114" t="s">
        <v>30</v>
      </c>
      <c r="G114" t="s">
        <v>16</v>
      </c>
      <c r="H114" t="s">
        <v>17</v>
      </c>
      <c r="I114">
        <v>4</v>
      </c>
      <c r="J114" t="s">
        <v>33</v>
      </c>
      <c r="K114" t="s">
        <v>27</v>
      </c>
      <c r="L114">
        <v>64</v>
      </c>
      <c r="M114" t="s">
        <v>17</v>
      </c>
    </row>
    <row r="115" spans="1:13">
      <c r="A115">
        <v>12071</v>
      </c>
      <c r="B115" t="s">
        <v>25</v>
      </c>
      <c r="C115" t="s">
        <v>14</v>
      </c>
      <c r="D115" s="1">
        <v>50000</v>
      </c>
      <c r="E115">
        <v>0</v>
      </c>
      <c r="F115" t="s">
        <v>36</v>
      </c>
      <c r="G115" t="s">
        <v>16</v>
      </c>
      <c r="H115" t="s">
        <v>17</v>
      </c>
      <c r="I115">
        <v>2</v>
      </c>
      <c r="J115" t="s">
        <v>26</v>
      </c>
      <c r="K115" t="s">
        <v>19</v>
      </c>
      <c r="L115">
        <v>31</v>
      </c>
      <c r="M115" t="s">
        <v>17</v>
      </c>
    </row>
    <row r="116" spans="1:13">
      <c r="A116">
        <v>27614</v>
      </c>
      <c r="B116" t="s">
        <v>13</v>
      </c>
      <c r="C116" t="s">
        <v>14</v>
      </c>
      <c r="D116" s="1">
        <v>110000</v>
      </c>
      <c r="E116">
        <v>5</v>
      </c>
      <c r="F116" t="s">
        <v>36</v>
      </c>
      <c r="G116" t="s">
        <v>23</v>
      </c>
      <c r="H116" t="s">
        <v>20</v>
      </c>
      <c r="I116">
        <v>4</v>
      </c>
      <c r="J116" t="s">
        <v>29</v>
      </c>
      <c r="K116" t="s">
        <v>27</v>
      </c>
      <c r="L116">
        <v>31</v>
      </c>
      <c r="M116" t="s">
        <v>20</v>
      </c>
    </row>
    <row r="117" spans="1:13">
      <c r="A117">
        <v>23373</v>
      </c>
      <c r="B117" t="s">
        <v>25</v>
      </c>
      <c r="C117" t="s">
        <v>13</v>
      </c>
      <c r="D117" s="1">
        <v>40000</v>
      </c>
      <c r="E117">
        <v>3</v>
      </c>
      <c r="F117" t="s">
        <v>30</v>
      </c>
      <c r="G117" t="s">
        <v>22</v>
      </c>
      <c r="H117" t="s">
        <v>17</v>
      </c>
      <c r="I117">
        <v>2</v>
      </c>
      <c r="J117" t="s">
        <v>18</v>
      </c>
      <c r="K117" t="s">
        <v>35</v>
      </c>
      <c r="L117">
        <v>48</v>
      </c>
      <c r="M117" t="s">
        <v>20</v>
      </c>
    </row>
    <row r="118" spans="1:13">
      <c r="A118">
        <v>11984</v>
      </c>
      <c r="B118" t="s">
        <v>25</v>
      </c>
      <c r="C118" t="s">
        <v>14</v>
      </c>
      <c r="D118" s="1">
        <v>70000</v>
      </c>
      <c r="E118">
        <v>0</v>
      </c>
      <c r="F118" t="s">
        <v>21</v>
      </c>
      <c r="G118" t="s">
        <v>16</v>
      </c>
      <c r="H118" t="s">
        <v>17</v>
      </c>
      <c r="I118">
        <v>4</v>
      </c>
      <c r="J118" t="s">
        <v>18</v>
      </c>
      <c r="K118" t="s">
        <v>19</v>
      </c>
      <c r="L118">
        <v>46</v>
      </c>
      <c r="M118" t="s">
        <v>17</v>
      </c>
    </row>
    <row r="119" spans="1:13">
      <c r="A119">
        <v>14126</v>
      </c>
      <c r="B119" t="s">
        <v>13</v>
      </c>
      <c r="C119" t="s">
        <v>13</v>
      </c>
      <c r="D119" s="1">
        <v>20000</v>
      </c>
      <c r="E119">
        <v>1</v>
      </c>
      <c r="F119" t="s">
        <v>34</v>
      </c>
      <c r="G119" t="s">
        <v>22</v>
      </c>
      <c r="H119" t="s">
        <v>20</v>
      </c>
      <c r="I119">
        <v>1</v>
      </c>
      <c r="J119" t="s">
        <v>33</v>
      </c>
      <c r="K119" t="s">
        <v>19</v>
      </c>
      <c r="L119">
        <v>42</v>
      </c>
      <c r="M119" t="s">
        <v>17</v>
      </c>
    </row>
    <row r="120" spans="1:13">
      <c r="A120">
        <v>14259</v>
      </c>
      <c r="B120" t="s">
        <v>25</v>
      </c>
      <c r="C120" t="s">
        <v>13</v>
      </c>
      <c r="D120" s="1">
        <v>50000</v>
      </c>
      <c r="E120">
        <v>0</v>
      </c>
      <c r="F120" t="s">
        <v>15</v>
      </c>
      <c r="G120" t="s">
        <v>16</v>
      </c>
      <c r="H120" t="s">
        <v>20</v>
      </c>
      <c r="I120">
        <v>1</v>
      </c>
      <c r="J120" t="s">
        <v>33</v>
      </c>
      <c r="K120" t="s">
        <v>27</v>
      </c>
      <c r="L120">
        <v>26</v>
      </c>
      <c r="M120" t="s">
        <v>17</v>
      </c>
    </row>
    <row r="121" spans="1:13">
      <c r="A121">
        <v>18695</v>
      </c>
      <c r="B121" t="s">
        <v>13</v>
      </c>
      <c r="C121" t="s">
        <v>13</v>
      </c>
      <c r="D121" s="1">
        <v>90000</v>
      </c>
      <c r="E121">
        <v>5</v>
      </c>
      <c r="F121" t="s">
        <v>36</v>
      </c>
      <c r="G121" t="s">
        <v>31</v>
      </c>
      <c r="H121" t="s">
        <v>17</v>
      </c>
      <c r="I121">
        <v>3</v>
      </c>
      <c r="J121" t="s">
        <v>26</v>
      </c>
      <c r="K121" t="s">
        <v>27</v>
      </c>
      <c r="L121">
        <v>57</v>
      </c>
      <c r="M121" t="s">
        <v>17</v>
      </c>
    </row>
    <row r="122" spans="1:13">
      <c r="A122">
        <v>24811</v>
      </c>
      <c r="B122" t="s">
        <v>13</v>
      </c>
      <c r="C122" t="s">
        <v>13</v>
      </c>
      <c r="D122" s="1">
        <v>90000</v>
      </c>
      <c r="E122">
        <v>5</v>
      </c>
      <c r="F122" t="s">
        <v>34</v>
      </c>
      <c r="G122" t="s">
        <v>23</v>
      </c>
      <c r="H122" t="s">
        <v>17</v>
      </c>
      <c r="I122">
        <v>0</v>
      </c>
      <c r="J122" t="s">
        <v>26</v>
      </c>
      <c r="K122" t="s">
        <v>27</v>
      </c>
      <c r="L122">
        <v>52</v>
      </c>
      <c r="M122" t="s">
        <v>17</v>
      </c>
    </row>
    <row r="123" spans="1:13">
      <c r="A123">
        <v>26065</v>
      </c>
      <c r="B123" t="s">
        <v>25</v>
      </c>
      <c r="C123" t="s">
        <v>13</v>
      </c>
      <c r="D123" s="1">
        <v>100000</v>
      </c>
      <c r="E123">
        <v>1</v>
      </c>
      <c r="F123" t="s">
        <v>15</v>
      </c>
      <c r="G123" t="s">
        <v>23</v>
      </c>
      <c r="H123" t="s">
        <v>17</v>
      </c>
      <c r="I123">
        <v>1</v>
      </c>
      <c r="J123" t="s">
        <v>24</v>
      </c>
      <c r="K123" t="s">
        <v>35</v>
      </c>
      <c r="L123">
        <v>65</v>
      </c>
      <c r="M123" t="s">
        <v>20</v>
      </c>
    </row>
    <row r="124" spans="1:13">
      <c r="A124">
        <v>22481</v>
      </c>
      <c r="B124" t="s">
        <v>25</v>
      </c>
      <c r="C124" t="s">
        <v>14</v>
      </c>
      <c r="D124" s="1">
        <v>140000</v>
      </c>
      <c r="E124">
        <v>0</v>
      </c>
      <c r="F124" t="s">
        <v>34</v>
      </c>
      <c r="G124" t="s">
        <v>31</v>
      </c>
      <c r="H124" t="s">
        <v>17</v>
      </c>
      <c r="I124">
        <v>4</v>
      </c>
      <c r="J124" t="s">
        <v>29</v>
      </c>
      <c r="K124" t="s">
        <v>27</v>
      </c>
      <c r="L124">
        <v>53</v>
      </c>
      <c r="M124" t="s">
        <v>17</v>
      </c>
    </row>
    <row r="125" spans="1:13">
      <c r="A125">
        <v>23559</v>
      </c>
      <c r="B125" t="s">
        <v>25</v>
      </c>
      <c r="C125" t="s">
        <v>14</v>
      </c>
      <c r="D125" s="1">
        <v>10000</v>
      </c>
      <c r="E125">
        <v>2</v>
      </c>
      <c r="F125" t="s">
        <v>36</v>
      </c>
      <c r="G125" t="s">
        <v>28</v>
      </c>
      <c r="H125" t="s">
        <v>20</v>
      </c>
      <c r="I125">
        <v>2</v>
      </c>
      <c r="J125" t="s">
        <v>24</v>
      </c>
      <c r="K125" t="s">
        <v>27</v>
      </c>
      <c r="L125">
        <v>34</v>
      </c>
      <c r="M125" t="s">
        <v>20</v>
      </c>
    </row>
    <row r="126" spans="1:13">
      <c r="A126">
        <v>12199</v>
      </c>
      <c r="B126" t="s">
        <v>13</v>
      </c>
      <c r="C126" t="s">
        <v>13</v>
      </c>
      <c r="D126" s="1">
        <v>10000</v>
      </c>
      <c r="E126">
        <v>5</v>
      </c>
      <c r="F126" t="s">
        <v>15</v>
      </c>
      <c r="G126" t="s">
        <v>28</v>
      </c>
      <c r="H126" t="s">
        <v>20</v>
      </c>
      <c r="I126">
        <v>1</v>
      </c>
      <c r="J126" t="s">
        <v>33</v>
      </c>
      <c r="K126" t="s">
        <v>19</v>
      </c>
      <c r="L126">
        <v>62</v>
      </c>
      <c r="M126" t="s">
        <v>20</v>
      </c>
    </row>
    <row r="127" spans="1:13">
      <c r="A127">
        <v>14005</v>
      </c>
      <c r="B127" t="s">
        <v>25</v>
      </c>
      <c r="C127" t="s">
        <v>14</v>
      </c>
      <c r="D127" s="1">
        <v>60000</v>
      </c>
      <c r="E127">
        <v>4</v>
      </c>
      <c r="F127" t="s">
        <v>36</v>
      </c>
      <c r="G127" t="s">
        <v>16</v>
      </c>
      <c r="H127" t="s">
        <v>20</v>
      </c>
      <c r="I127">
        <v>2</v>
      </c>
      <c r="J127" t="s">
        <v>18</v>
      </c>
      <c r="K127" t="s">
        <v>35</v>
      </c>
      <c r="L127">
        <v>57</v>
      </c>
      <c r="M127" t="s">
        <v>17</v>
      </c>
    </row>
    <row r="128" spans="1:13">
      <c r="A128">
        <v>15070</v>
      </c>
      <c r="B128" t="s">
        <v>25</v>
      </c>
      <c r="C128" t="s">
        <v>13</v>
      </c>
      <c r="D128" s="1">
        <v>120000</v>
      </c>
      <c r="E128">
        <v>4</v>
      </c>
      <c r="F128" t="s">
        <v>15</v>
      </c>
      <c r="G128" t="s">
        <v>23</v>
      </c>
      <c r="H128" t="s">
        <v>20</v>
      </c>
      <c r="I128">
        <v>0</v>
      </c>
      <c r="J128" t="s">
        <v>24</v>
      </c>
      <c r="K128" t="s">
        <v>35</v>
      </c>
      <c r="L128">
        <v>39</v>
      </c>
      <c r="M128" t="s">
        <v>20</v>
      </c>
    </row>
    <row r="129" spans="1:13">
      <c r="A129">
        <v>28381</v>
      </c>
      <c r="B129" t="s">
        <v>13</v>
      </c>
      <c r="C129" t="s">
        <v>14</v>
      </c>
      <c r="D129" s="1">
        <v>30000</v>
      </c>
      <c r="E129">
        <v>5</v>
      </c>
      <c r="F129" t="s">
        <v>15</v>
      </c>
      <c r="G129" t="s">
        <v>22</v>
      </c>
      <c r="H129" t="s">
        <v>20</v>
      </c>
      <c r="I129">
        <v>2</v>
      </c>
      <c r="J129" t="s">
        <v>24</v>
      </c>
      <c r="K129" t="s">
        <v>19</v>
      </c>
      <c r="L129">
        <v>36</v>
      </c>
      <c r="M129" t="s">
        <v>17</v>
      </c>
    </row>
    <row r="130" spans="1:13">
      <c r="A130">
        <v>28557</v>
      </c>
      <c r="B130" t="s">
        <v>25</v>
      </c>
      <c r="C130" t="s">
        <v>13</v>
      </c>
      <c r="D130" s="1">
        <v>40000</v>
      </c>
      <c r="E130">
        <v>5</v>
      </c>
      <c r="F130" t="s">
        <v>21</v>
      </c>
      <c r="G130" t="s">
        <v>16</v>
      </c>
      <c r="H130" t="s">
        <v>17</v>
      </c>
      <c r="I130">
        <v>3</v>
      </c>
      <c r="J130" t="s">
        <v>26</v>
      </c>
      <c r="K130" t="s">
        <v>27</v>
      </c>
      <c r="L130">
        <v>46</v>
      </c>
      <c r="M130" t="s">
        <v>17</v>
      </c>
    </row>
    <row r="131" spans="1:13">
      <c r="A131">
        <v>22125</v>
      </c>
      <c r="B131" t="s">
        <v>25</v>
      </c>
      <c r="C131" t="s">
        <v>14</v>
      </c>
      <c r="D131" s="1">
        <v>90000</v>
      </c>
      <c r="E131">
        <v>0</v>
      </c>
      <c r="F131" t="s">
        <v>34</v>
      </c>
      <c r="G131" t="s">
        <v>31</v>
      </c>
      <c r="H131" t="s">
        <v>17</v>
      </c>
      <c r="I131">
        <v>1</v>
      </c>
      <c r="J131" t="s">
        <v>33</v>
      </c>
      <c r="K131" t="s">
        <v>19</v>
      </c>
      <c r="L131">
        <v>30</v>
      </c>
      <c r="M131" t="s">
        <v>20</v>
      </c>
    </row>
    <row r="132" spans="1:13">
      <c r="A132">
        <v>24519</v>
      </c>
      <c r="B132" t="s">
        <v>25</v>
      </c>
      <c r="C132" t="s">
        <v>14</v>
      </c>
      <c r="D132" s="1">
        <v>40000</v>
      </c>
      <c r="E132">
        <v>2</v>
      </c>
      <c r="F132" t="s">
        <v>34</v>
      </c>
      <c r="G132" t="s">
        <v>28</v>
      </c>
      <c r="H132" t="s">
        <v>17</v>
      </c>
      <c r="I132">
        <v>4</v>
      </c>
      <c r="J132" t="s">
        <v>18</v>
      </c>
      <c r="K132" t="s">
        <v>27</v>
      </c>
      <c r="L132">
        <v>52</v>
      </c>
      <c r="M132" t="s">
        <v>17</v>
      </c>
    </row>
    <row r="133" spans="1:13">
      <c r="A133">
        <v>19281</v>
      </c>
      <c r="B133" t="s">
        <v>25</v>
      </c>
      <c r="C133" t="s">
        <v>14</v>
      </c>
      <c r="D133" s="1">
        <v>40000</v>
      </c>
      <c r="E133">
        <v>4</v>
      </c>
      <c r="F133" t="s">
        <v>15</v>
      </c>
      <c r="G133" t="s">
        <v>22</v>
      </c>
      <c r="H133" t="s">
        <v>17</v>
      </c>
      <c r="I133">
        <v>0</v>
      </c>
      <c r="J133" t="s">
        <v>29</v>
      </c>
      <c r="K133" t="s">
        <v>27</v>
      </c>
      <c r="L133">
        <v>38</v>
      </c>
      <c r="M133" t="s">
        <v>17</v>
      </c>
    </row>
    <row r="134" spans="1:13">
      <c r="A134">
        <v>18372</v>
      </c>
      <c r="B134" t="s">
        <v>25</v>
      </c>
      <c r="C134" t="s">
        <v>14</v>
      </c>
      <c r="D134" s="1">
        <v>70000</v>
      </c>
      <c r="E134">
        <v>5</v>
      </c>
      <c r="F134" t="s">
        <v>15</v>
      </c>
      <c r="G134" t="s">
        <v>16</v>
      </c>
      <c r="H134" t="s">
        <v>20</v>
      </c>
      <c r="I134">
        <v>1</v>
      </c>
      <c r="J134" t="s">
        <v>29</v>
      </c>
      <c r="K134" t="s">
        <v>27</v>
      </c>
      <c r="L134">
        <v>59</v>
      </c>
      <c r="M134" t="s">
        <v>17</v>
      </c>
    </row>
    <row r="135" spans="1:13">
      <c r="A135">
        <v>26392</v>
      </c>
      <c r="B135" t="s">
        <v>25</v>
      </c>
      <c r="C135" t="s">
        <v>13</v>
      </c>
      <c r="D135" s="1">
        <v>70000</v>
      </c>
      <c r="E135">
        <v>0</v>
      </c>
      <c r="F135" t="s">
        <v>36</v>
      </c>
      <c r="G135" t="s">
        <v>16</v>
      </c>
      <c r="H135" t="s">
        <v>20</v>
      </c>
      <c r="I135">
        <v>0</v>
      </c>
      <c r="J135" t="s">
        <v>24</v>
      </c>
      <c r="K135" t="s">
        <v>35</v>
      </c>
      <c r="L135">
        <v>52</v>
      </c>
      <c r="M135" t="s">
        <v>20</v>
      </c>
    </row>
    <row r="136" spans="1:13">
      <c r="A136">
        <v>23686</v>
      </c>
      <c r="B136" t="s">
        <v>25</v>
      </c>
      <c r="C136" t="s">
        <v>13</v>
      </c>
      <c r="D136" s="1">
        <v>60000</v>
      </c>
      <c r="E136">
        <v>1</v>
      </c>
      <c r="F136" t="s">
        <v>36</v>
      </c>
      <c r="G136" t="s">
        <v>16</v>
      </c>
      <c r="H136" t="s">
        <v>20</v>
      </c>
      <c r="I136">
        <v>2</v>
      </c>
      <c r="J136" t="s">
        <v>18</v>
      </c>
      <c r="K136" t="s">
        <v>27</v>
      </c>
      <c r="L136">
        <v>31</v>
      </c>
      <c r="M136" t="s">
        <v>17</v>
      </c>
    </row>
    <row r="137" spans="1:13">
      <c r="A137">
        <v>24276</v>
      </c>
      <c r="B137" t="s">
        <v>25</v>
      </c>
      <c r="C137" t="s">
        <v>13</v>
      </c>
      <c r="D137" s="1">
        <v>110000</v>
      </c>
      <c r="E137">
        <v>2</v>
      </c>
      <c r="F137" t="s">
        <v>36</v>
      </c>
      <c r="G137" t="s">
        <v>23</v>
      </c>
      <c r="H137" t="s">
        <v>17</v>
      </c>
      <c r="I137">
        <v>2</v>
      </c>
      <c r="J137" t="s">
        <v>29</v>
      </c>
      <c r="K137" t="s">
        <v>19</v>
      </c>
      <c r="L137">
        <v>57</v>
      </c>
      <c r="M137" t="s">
        <v>17</v>
      </c>
    </row>
    <row r="138" spans="1:13">
      <c r="A138">
        <v>27386</v>
      </c>
      <c r="B138" t="s">
        <v>13</v>
      </c>
      <c r="C138" t="s">
        <v>14</v>
      </c>
      <c r="D138" s="1">
        <v>20000</v>
      </c>
      <c r="E138">
        <v>0</v>
      </c>
      <c r="F138" t="s">
        <v>30</v>
      </c>
      <c r="G138" t="s">
        <v>22</v>
      </c>
      <c r="H138" t="s">
        <v>17</v>
      </c>
      <c r="I138">
        <v>2</v>
      </c>
      <c r="J138" t="s">
        <v>29</v>
      </c>
      <c r="K138" t="s">
        <v>19</v>
      </c>
      <c r="L138">
        <v>63</v>
      </c>
      <c r="M138" t="s">
        <v>17</v>
      </c>
    </row>
    <row r="139" spans="1:13">
      <c r="A139">
        <v>12469</v>
      </c>
      <c r="B139" t="s">
        <v>13</v>
      </c>
      <c r="C139" t="s">
        <v>14</v>
      </c>
      <c r="D139" s="1">
        <v>170000</v>
      </c>
      <c r="E139">
        <v>3</v>
      </c>
      <c r="F139" t="s">
        <v>36</v>
      </c>
      <c r="G139" t="s">
        <v>31</v>
      </c>
      <c r="H139" t="s">
        <v>20</v>
      </c>
      <c r="I139">
        <v>2</v>
      </c>
      <c r="J139" t="s">
        <v>29</v>
      </c>
      <c r="K139" t="s">
        <v>27</v>
      </c>
      <c r="L139">
        <v>29</v>
      </c>
      <c r="M139" t="s">
        <v>20</v>
      </c>
    </row>
    <row r="140" spans="1:13">
      <c r="A140">
        <v>24490</v>
      </c>
      <c r="B140" t="s">
        <v>25</v>
      </c>
      <c r="C140" t="s">
        <v>14</v>
      </c>
      <c r="D140" s="1">
        <v>60000</v>
      </c>
      <c r="E140">
        <v>4</v>
      </c>
      <c r="F140" t="s">
        <v>34</v>
      </c>
      <c r="G140" t="s">
        <v>16</v>
      </c>
      <c r="H140" t="s">
        <v>17</v>
      </c>
      <c r="I140">
        <v>2</v>
      </c>
      <c r="J140" t="s">
        <v>26</v>
      </c>
      <c r="K140" t="s">
        <v>27</v>
      </c>
      <c r="L140">
        <v>27</v>
      </c>
      <c r="M140" t="s">
        <v>17</v>
      </c>
    </row>
    <row r="141" spans="1:13">
      <c r="A141">
        <v>22082</v>
      </c>
      <c r="B141" t="s">
        <v>25</v>
      </c>
      <c r="C141" t="s">
        <v>13</v>
      </c>
      <c r="D141" s="1">
        <v>170000</v>
      </c>
      <c r="E141">
        <v>4</v>
      </c>
      <c r="F141" t="s">
        <v>15</v>
      </c>
      <c r="G141" t="s">
        <v>31</v>
      </c>
      <c r="H141" t="s">
        <v>20</v>
      </c>
      <c r="I141">
        <v>3</v>
      </c>
      <c r="J141" t="s">
        <v>33</v>
      </c>
      <c r="K141" t="s">
        <v>35</v>
      </c>
      <c r="L141">
        <v>27</v>
      </c>
      <c r="M141" t="s">
        <v>20</v>
      </c>
    </row>
    <row r="142" spans="1:13">
      <c r="A142">
        <v>28732</v>
      </c>
      <c r="B142" t="s">
        <v>13</v>
      </c>
      <c r="C142" t="s">
        <v>14</v>
      </c>
      <c r="D142" s="1">
        <v>20000</v>
      </c>
      <c r="E142">
        <v>0</v>
      </c>
      <c r="F142" t="s">
        <v>34</v>
      </c>
      <c r="G142" t="s">
        <v>28</v>
      </c>
      <c r="H142" t="s">
        <v>20</v>
      </c>
      <c r="I142">
        <v>0</v>
      </c>
      <c r="J142" t="s">
        <v>24</v>
      </c>
      <c r="K142" t="s">
        <v>35</v>
      </c>
      <c r="L142">
        <v>30</v>
      </c>
      <c r="M142" t="s">
        <v>17</v>
      </c>
    </row>
    <row r="143" spans="1:13">
      <c r="A143">
        <v>11282</v>
      </c>
      <c r="B143" t="s">
        <v>13</v>
      </c>
      <c r="C143" t="s">
        <v>14</v>
      </c>
      <c r="D143" s="1">
        <v>160000</v>
      </c>
      <c r="E143">
        <v>4</v>
      </c>
      <c r="F143" t="s">
        <v>36</v>
      </c>
      <c r="G143" t="s">
        <v>31</v>
      </c>
      <c r="H143" t="s">
        <v>17</v>
      </c>
      <c r="I143">
        <v>2</v>
      </c>
      <c r="J143" t="s">
        <v>24</v>
      </c>
      <c r="K143" t="s">
        <v>27</v>
      </c>
      <c r="L143">
        <v>49</v>
      </c>
      <c r="M143" t="s">
        <v>20</v>
      </c>
    </row>
    <row r="144" spans="1:13">
      <c r="A144">
        <v>21087</v>
      </c>
      <c r="B144" t="s">
        <v>13</v>
      </c>
      <c r="C144" t="s">
        <v>14</v>
      </c>
      <c r="D144" s="1">
        <v>60000</v>
      </c>
      <c r="E144">
        <v>4</v>
      </c>
      <c r="F144" t="s">
        <v>15</v>
      </c>
      <c r="G144" t="s">
        <v>23</v>
      </c>
      <c r="H144" t="s">
        <v>20</v>
      </c>
      <c r="I144">
        <v>2</v>
      </c>
      <c r="J144" t="s">
        <v>24</v>
      </c>
      <c r="K144" t="s">
        <v>35</v>
      </c>
      <c r="L144">
        <v>63</v>
      </c>
      <c r="M144" t="s">
        <v>17</v>
      </c>
    </row>
    <row r="145" spans="1:13">
      <c r="A145">
        <v>20923</v>
      </c>
      <c r="B145" t="s">
        <v>13</v>
      </c>
      <c r="C145" t="s">
        <v>13</v>
      </c>
      <c r="D145" s="1">
        <v>110000</v>
      </c>
      <c r="E145">
        <v>5</v>
      </c>
      <c r="F145" t="s">
        <v>30</v>
      </c>
      <c r="G145" t="s">
        <v>23</v>
      </c>
      <c r="H145" t="s">
        <v>20</v>
      </c>
      <c r="I145">
        <v>1</v>
      </c>
      <c r="J145" t="s">
        <v>33</v>
      </c>
      <c r="K145" t="s">
        <v>35</v>
      </c>
      <c r="L145">
        <v>30</v>
      </c>
      <c r="M145" t="s">
        <v>20</v>
      </c>
    </row>
    <row r="146" spans="1:13">
      <c r="A146">
        <v>28314</v>
      </c>
      <c r="B146" t="s">
        <v>25</v>
      </c>
      <c r="C146" t="s">
        <v>14</v>
      </c>
      <c r="D146" s="1">
        <v>90000</v>
      </c>
      <c r="E146">
        <v>5</v>
      </c>
      <c r="F146" t="s">
        <v>21</v>
      </c>
      <c r="G146" t="s">
        <v>31</v>
      </c>
      <c r="H146" t="s">
        <v>20</v>
      </c>
      <c r="I146">
        <v>4</v>
      </c>
      <c r="J146" t="s">
        <v>24</v>
      </c>
      <c r="K146" t="s">
        <v>19</v>
      </c>
      <c r="L146">
        <v>48</v>
      </c>
      <c r="M146" t="s">
        <v>20</v>
      </c>
    </row>
    <row r="147" spans="1:13">
      <c r="A147">
        <v>15906</v>
      </c>
      <c r="B147" t="s">
        <v>13</v>
      </c>
      <c r="C147" t="s">
        <v>14</v>
      </c>
      <c r="D147" s="1">
        <v>20000</v>
      </c>
      <c r="E147">
        <v>1</v>
      </c>
      <c r="F147" t="s">
        <v>36</v>
      </c>
      <c r="G147" t="s">
        <v>22</v>
      </c>
      <c r="H147" t="s">
        <v>17</v>
      </c>
      <c r="I147">
        <v>0</v>
      </c>
      <c r="J147" t="s">
        <v>24</v>
      </c>
      <c r="K147" t="s">
        <v>19</v>
      </c>
      <c r="L147">
        <v>57</v>
      </c>
      <c r="M147" t="s">
        <v>17</v>
      </c>
    </row>
    <row r="148" spans="1:13">
      <c r="A148">
        <v>21035</v>
      </c>
      <c r="B148" t="s">
        <v>13</v>
      </c>
      <c r="C148" t="s">
        <v>14</v>
      </c>
      <c r="D148" s="1">
        <v>20000</v>
      </c>
      <c r="E148">
        <v>5</v>
      </c>
      <c r="F148" t="s">
        <v>21</v>
      </c>
      <c r="G148" t="s">
        <v>22</v>
      </c>
      <c r="H148" t="s">
        <v>17</v>
      </c>
      <c r="I148">
        <v>3</v>
      </c>
      <c r="J148" t="s">
        <v>18</v>
      </c>
      <c r="K148" t="s">
        <v>27</v>
      </c>
      <c r="L148">
        <v>48</v>
      </c>
      <c r="M148" t="s">
        <v>17</v>
      </c>
    </row>
    <row r="149" spans="1:13">
      <c r="A149">
        <v>24555</v>
      </c>
      <c r="B149" t="s">
        <v>25</v>
      </c>
      <c r="C149" t="s">
        <v>14</v>
      </c>
      <c r="D149" s="1">
        <v>110000</v>
      </c>
      <c r="E149">
        <v>2</v>
      </c>
      <c r="F149" t="s">
        <v>21</v>
      </c>
      <c r="G149" t="s">
        <v>31</v>
      </c>
      <c r="H149" t="s">
        <v>20</v>
      </c>
      <c r="I149">
        <v>1</v>
      </c>
      <c r="J149" t="s">
        <v>24</v>
      </c>
      <c r="K149" t="s">
        <v>35</v>
      </c>
      <c r="L149">
        <v>61</v>
      </c>
      <c r="M149" t="s">
        <v>20</v>
      </c>
    </row>
    <row r="150" spans="1:13">
      <c r="A150">
        <v>25128</v>
      </c>
      <c r="B150" t="s">
        <v>25</v>
      </c>
      <c r="C150" t="s">
        <v>14</v>
      </c>
      <c r="D150" s="1">
        <v>140000</v>
      </c>
      <c r="E150">
        <v>1</v>
      </c>
      <c r="F150" t="s">
        <v>34</v>
      </c>
      <c r="G150" t="s">
        <v>31</v>
      </c>
      <c r="H150" t="s">
        <v>17</v>
      </c>
      <c r="I150">
        <v>4</v>
      </c>
      <c r="J150" t="s">
        <v>29</v>
      </c>
      <c r="K150" t="s">
        <v>27</v>
      </c>
      <c r="L150">
        <v>28</v>
      </c>
      <c r="M150" t="s">
        <v>20</v>
      </c>
    </row>
    <row r="151" spans="1:13">
      <c r="A151">
        <v>22163</v>
      </c>
      <c r="B151" t="s">
        <v>13</v>
      </c>
      <c r="C151" t="s">
        <v>13</v>
      </c>
      <c r="D151" s="1">
        <v>50000</v>
      </c>
      <c r="E151">
        <v>2</v>
      </c>
      <c r="F151" t="s">
        <v>30</v>
      </c>
      <c r="G151" t="s">
        <v>16</v>
      </c>
      <c r="H151" t="s">
        <v>20</v>
      </c>
      <c r="I151">
        <v>4</v>
      </c>
      <c r="J151" t="s">
        <v>29</v>
      </c>
      <c r="K151" t="s">
        <v>27</v>
      </c>
      <c r="L151">
        <v>30</v>
      </c>
      <c r="M151" t="s">
        <v>17</v>
      </c>
    </row>
    <row r="152" spans="1:13">
      <c r="A152">
        <v>24782</v>
      </c>
      <c r="B152" t="s">
        <v>25</v>
      </c>
      <c r="C152" t="s">
        <v>13</v>
      </c>
      <c r="D152" s="1">
        <v>70000</v>
      </c>
      <c r="E152">
        <v>4</v>
      </c>
      <c r="F152" t="s">
        <v>36</v>
      </c>
      <c r="G152" t="s">
        <v>16</v>
      </c>
      <c r="H152" t="s">
        <v>20</v>
      </c>
      <c r="I152">
        <v>1</v>
      </c>
      <c r="J152" t="s">
        <v>26</v>
      </c>
      <c r="K152" t="s">
        <v>19</v>
      </c>
      <c r="L152">
        <v>48</v>
      </c>
      <c r="M152" t="s">
        <v>17</v>
      </c>
    </row>
    <row r="153" spans="1:13">
      <c r="A153">
        <v>10923</v>
      </c>
      <c r="B153" t="s">
        <v>25</v>
      </c>
      <c r="C153" t="s">
        <v>13</v>
      </c>
      <c r="D153" s="1">
        <v>20000</v>
      </c>
      <c r="E153">
        <v>0</v>
      </c>
      <c r="F153" t="s">
        <v>30</v>
      </c>
      <c r="G153" t="s">
        <v>22</v>
      </c>
      <c r="H153" t="s">
        <v>20</v>
      </c>
      <c r="I153">
        <v>3</v>
      </c>
      <c r="J153" t="s">
        <v>29</v>
      </c>
      <c r="K153" t="s">
        <v>35</v>
      </c>
      <c r="L153">
        <v>55</v>
      </c>
      <c r="M153" t="s">
        <v>20</v>
      </c>
    </row>
    <row r="154" spans="1:13">
      <c r="A154">
        <v>10172</v>
      </c>
      <c r="B154" t="s">
        <v>13</v>
      </c>
      <c r="C154" t="s">
        <v>13</v>
      </c>
      <c r="D154" s="1">
        <v>20000</v>
      </c>
      <c r="E154">
        <v>4</v>
      </c>
      <c r="F154" t="s">
        <v>30</v>
      </c>
      <c r="G154" t="s">
        <v>22</v>
      </c>
      <c r="H154" t="s">
        <v>20</v>
      </c>
      <c r="I154">
        <v>0</v>
      </c>
      <c r="J154" t="s">
        <v>24</v>
      </c>
      <c r="K154" t="s">
        <v>19</v>
      </c>
      <c r="L154">
        <v>44</v>
      </c>
      <c r="M154" t="s">
        <v>17</v>
      </c>
    </row>
    <row r="155" spans="1:13">
      <c r="A155">
        <v>11564</v>
      </c>
      <c r="B155" t="s">
        <v>13</v>
      </c>
      <c r="C155" t="s">
        <v>14</v>
      </c>
      <c r="D155" s="1">
        <v>10000</v>
      </c>
      <c r="E155">
        <v>0</v>
      </c>
      <c r="F155" t="s">
        <v>34</v>
      </c>
      <c r="G155" t="s">
        <v>28</v>
      </c>
      <c r="H155" t="s">
        <v>20</v>
      </c>
      <c r="I155">
        <v>4</v>
      </c>
      <c r="J155" t="s">
        <v>33</v>
      </c>
      <c r="K155" t="s">
        <v>19</v>
      </c>
      <c r="L155">
        <v>65</v>
      </c>
      <c r="M155" t="s">
        <v>17</v>
      </c>
    </row>
    <row r="156" spans="1:13">
      <c r="A156">
        <v>14704</v>
      </c>
      <c r="B156" t="s">
        <v>25</v>
      </c>
      <c r="C156" t="s">
        <v>14</v>
      </c>
      <c r="D156" s="1">
        <v>130000</v>
      </c>
      <c r="E156">
        <v>1</v>
      </c>
      <c r="F156" t="s">
        <v>15</v>
      </c>
      <c r="G156" t="s">
        <v>31</v>
      </c>
      <c r="H156" t="s">
        <v>20</v>
      </c>
      <c r="I156">
        <v>1</v>
      </c>
      <c r="J156" t="s">
        <v>18</v>
      </c>
      <c r="K156" t="s">
        <v>35</v>
      </c>
      <c r="L156">
        <v>48</v>
      </c>
      <c r="M156" t="s">
        <v>17</v>
      </c>
    </row>
    <row r="157" spans="1:13">
      <c r="A157">
        <v>27237</v>
      </c>
      <c r="B157" t="s">
        <v>13</v>
      </c>
      <c r="C157" t="s">
        <v>14</v>
      </c>
      <c r="D157" s="1">
        <v>70000</v>
      </c>
      <c r="E157">
        <v>2</v>
      </c>
      <c r="F157" t="s">
        <v>36</v>
      </c>
      <c r="G157" t="s">
        <v>16</v>
      </c>
      <c r="H157" t="s">
        <v>20</v>
      </c>
      <c r="I157">
        <v>0</v>
      </c>
      <c r="J157" t="s">
        <v>24</v>
      </c>
      <c r="K157" t="s">
        <v>19</v>
      </c>
      <c r="L157">
        <v>47</v>
      </c>
      <c r="M157" t="s">
        <v>17</v>
      </c>
    </row>
    <row r="158" spans="1:13">
      <c r="A158">
        <v>13396</v>
      </c>
      <c r="B158" t="s">
        <v>25</v>
      </c>
      <c r="C158" t="s">
        <v>13</v>
      </c>
      <c r="D158" s="1">
        <v>100000</v>
      </c>
      <c r="E158">
        <v>2</v>
      </c>
      <c r="F158" t="s">
        <v>15</v>
      </c>
      <c r="G158" t="s">
        <v>23</v>
      </c>
      <c r="H158" t="s">
        <v>17</v>
      </c>
      <c r="I158">
        <v>3</v>
      </c>
      <c r="J158" t="s">
        <v>26</v>
      </c>
      <c r="K158" t="s">
        <v>35</v>
      </c>
      <c r="L158">
        <v>36</v>
      </c>
      <c r="M158" t="s">
        <v>17</v>
      </c>
    </row>
    <row r="159" spans="1:13">
      <c r="A159">
        <v>12067</v>
      </c>
      <c r="B159" t="s">
        <v>25</v>
      </c>
      <c r="C159" t="s">
        <v>13</v>
      </c>
      <c r="D159" s="1">
        <v>10000</v>
      </c>
      <c r="E159">
        <v>1</v>
      </c>
      <c r="F159" t="s">
        <v>30</v>
      </c>
      <c r="G159" t="s">
        <v>22</v>
      </c>
      <c r="H159" t="s">
        <v>17</v>
      </c>
      <c r="I159">
        <v>2</v>
      </c>
      <c r="J159" t="s">
        <v>24</v>
      </c>
      <c r="K159" t="s">
        <v>35</v>
      </c>
      <c r="L159">
        <v>50</v>
      </c>
      <c r="M159" t="s">
        <v>20</v>
      </c>
    </row>
    <row r="160" spans="1:13">
      <c r="A160">
        <v>18300</v>
      </c>
      <c r="B160" t="s">
        <v>13</v>
      </c>
      <c r="C160" t="s">
        <v>13</v>
      </c>
      <c r="D160" s="1">
        <v>120000</v>
      </c>
      <c r="E160">
        <v>0</v>
      </c>
      <c r="F160" t="s">
        <v>30</v>
      </c>
      <c r="G160" t="s">
        <v>23</v>
      </c>
      <c r="H160" t="s">
        <v>20</v>
      </c>
      <c r="I160">
        <v>2</v>
      </c>
      <c r="J160" t="s">
        <v>18</v>
      </c>
      <c r="K160" t="s">
        <v>27</v>
      </c>
      <c r="L160">
        <v>52</v>
      </c>
      <c r="M160" t="s">
        <v>20</v>
      </c>
    </row>
    <row r="161" spans="1:13">
      <c r="A161">
        <v>24409</v>
      </c>
      <c r="B161" t="s">
        <v>25</v>
      </c>
      <c r="C161" t="s">
        <v>14</v>
      </c>
      <c r="D161" s="1">
        <v>40000</v>
      </c>
      <c r="E161">
        <v>2</v>
      </c>
      <c r="F161" t="s">
        <v>21</v>
      </c>
      <c r="G161" t="s">
        <v>28</v>
      </c>
      <c r="H161" t="s">
        <v>20</v>
      </c>
      <c r="I161">
        <v>0</v>
      </c>
      <c r="J161" t="s">
        <v>26</v>
      </c>
      <c r="K161" t="s">
        <v>19</v>
      </c>
      <c r="L161">
        <v>52</v>
      </c>
      <c r="M161" t="s">
        <v>17</v>
      </c>
    </row>
    <row r="162" spans="1:13">
      <c r="A162">
        <v>27874</v>
      </c>
      <c r="B162" t="s">
        <v>25</v>
      </c>
      <c r="C162" t="s">
        <v>14</v>
      </c>
      <c r="D162" s="1">
        <v>60000</v>
      </c>
      <c r="E162">
        <v>5</v>
      </c>
      <c r="F162" t="s">
        <v>15</v>
      </c>
      <c r="G162" t="s">
        <v>16</v>
      </c>
      <c r="H162" t="s">
        <v>20</v>
      </c>
      <c r="I162">
        <v>2</v>
      </c>
      <c r="J162" t="s">
        <v>26</v>
      </c>
      <c r="K162" t="s">
        <v>35</v>
      </c>
      <c r="L162">
        <v>52</v>
      </c>
      <c r="M162" t="s">
        <v>17</v>
      </c>
    </row>
    <row r="163" spans="1:13">
      <c r="A163">
        <v>24545</v>
      </c>
      <c r="B163" t="s">
        <v>25</v>
      </c>
      <c r="C163" t="s">
        <v>14</v>
      </c>
      <c r="D163" s="1">
        <v>100000</v>
      </c>
      <c r="E163">
        <v>3</v>
      </c>
      <c r="F163" t="s">
        <v>15</v>
      </c>
      <c r="G163" t="s">
        <v>23</v>
      </c>
      <c r="H163" t="s">
        <v>20</v>
      </c>
      <c r="I163">
        <v>0</v>
      </c>
      <c r="J163" t="s">
        <v>18</v>
      </c>
      <c r="K163" t="s">
        <v>35</v>
      </c>
      <c r="L163">
        <v>65</v>
      </c>
      <c r="M163" t="s">
        <v>20</v>
      </c>
    </row>
    <row r="164" spans="1:13">
      <c r="A164">
        <v>21904</v>
      </c>
      <c r="B164" t="s">
        <v>13</v>
      </c>
      <c r="C164" t="s">
        <v>13</v>
      </c>
      <c r="D164" s="1">
        <v>150000</v>
      </c>
      <c r="E164">
        <v>0</v>
      </c>
      <c r="F164" t="s">
        <v>21</v>
      </c>
      <c r="G164" t="s">
        <v>31</v>
      </c>
      <c r="H164" t="s">
        <v>17</v>
      </c>
      <c r="I164">
        <v>0</v>
      </c>
      <c r="J164" t="s">
        <v>29</v>
      </c>
      <c r="K164" t="s">
        <v>35</v>
      </c>
      <c r="L164">
        <v>48</v>
      </c>
      <c r="M164" t="s">
        <v>20</v>
      </c>
    </row>
    <row r="165" spans="1:13">
      <c r="A165">
        <v>22545</v>
      </c>
      <c r="B165" t="s">
        <v>13</v>
      </c>
      <c r="C165" t="s">
        <v>13</v>
      </c>
      <c r="D165" s="1">
        <v>80000</v>
      </c>
      <c r="E165">
        <v>3</v>
      </c>
      <c r="F165" t="s">
        <v>36</v>
      </c>
      <c r="G165" t="s">
        <v>23</v>
      </c>
      <c r="H165" t="s">
        <v>17</v>
      </c>
      <c r="I165">
        <v>4</v>
      </c>
      <c r="J165" t="s">
        <v>29</v>
      </c>
      <c r="K165" t="s">
        <v>35</v>
      </c>
      <c r="L165">
        <v>48</v>
      </c>
      <c r="M165" t="s">
        <v>20</v>
      </c>
    </row>
    <row r="166" spans="1:13">
      <c r="A166">
        <v>20301</v>
      </c>
      <c r="B166" t="s">
        <v>25</v>
      </c>
      <c r="C166" t="s">
        <v>13</v>
      </c>
      <c r="D166" s="1">
        <v>50000</v>
      </c>
      <c r="E166">
        <v>3</v>
      </c>
      <c r="F166" t="s">
        <v>15</v>
      </c>
      <c r="G166" t="s">
        <v>16</v>
      </c>
      <c r="H166" t="s">
        <v>20</v>
      </c>
      <c r="I166">
        <v>4</v>
      </c>
      <c r="J166" t="s">
        <v>18</v>
      </c>
      <c r="K166" t="s">
        <v>27</v>
      </c>
      <c r="L166">
        <v>41</v>
      </c>
      <c r="M166" t="s">
        <v>20</v>
      </c>
    </row>
    <row r="167" spans="1:13">
      <c r="A167">
        <v>17031</v>
      </c>
      <c r="B167" t="s">
        <v>25</v>
      </c>
      <c r="C167" t="s">
        <v>14</v>
      </c>
      <c r="D167" s="1">
        <v>50000</v>
      </c>
      <c r="E167">
        <v>0</v>
      </c>
      <c r="F167" t="s">
        <v>21</v>
      </c>
      <c r="G167" t="s">
        <v>16</v>
      </c>
      <c r="H167" t="s">
        <v>20</v>
      </c>
      <c r="I167">
        <v>1</v>
      </c>
      <c r="J167" t="s">
        <v>26</v>
      </c>
      <c r="K167" t="s">
        <v>19</v>
      </c>
      <c r="L167">
        <v>45</v>
      </c>
      <c r="M167" t="s">
        <v>20</v>
      </c>
    </row>
    <row r="168" spans="1:13">
      <c r="A168">
        <v>12127</v>
      </c>
      <c r="B168" t="s">
        <v>25</v>
      </c>
      <c r="C168" t="s">
        <v>14</v>
      </c>
      <c r="D168" s="1">
        <v>30000</v>
      </c>
      <c r="E168">
        <v>4</v>
      </c>
      <c r="F168" t="s">
        <v>21</v>
      </c>
      <c r="G168" t="s">
        <v>22</v>
      </c>
      <c r="H168" t="s">
        <v>17</v>
      </c>
      <c r="I168">
        <v>0</v>
      </c>
      <c r="J168" t="s">
        <v>29</v>
      </c>
      <c r="K168" t="s">
        <v>19</v>
      </c>
      <c r="L168">
        <v>40</v>
      </c>
      <c r="M168" t="s">
        <v>20</v>
      </c>
    </row>
    <row r="169" spans="1:13">
      <c r="A169">
        <v>10861</v>
      </c>
      <c r="B169" t="s">
        <v>25</v>
      </c>
      <c r="C169" t="s">
        <v>14</v>
      </c>
      <c r="D169" s="1">
        <v>100000</v>
      </c>
      <c r="E169">
        <v>4</v>
      </c>
      <c r="F169" t="s">
        <v>36</v>
      </c>
      <c r="G169" t="s">
        <v>31</v>
      </c>
      <c r="H169" t="s">
        <v>17</v>
      </c>
      <c r="I169">
        <v>0</v>
      </c>
      <c r="J169" t="s">
        <v>24</v>
      </c>
      <c r="K169" t="s">
        <v>27</v>
      </c>
      <c r="L169">
        <v>55</v>
      </c>
      <c r="M169" t="s">
        <v>20</v>
      </c>
    </row>
    <row r="170" spans="1:13">
      <c r="A170">
        <v>23416</v>
      </c>
      <c r="B170" t="s">
        <v>13</v>
      </c>
      <c r="C170" t="s">
        <v>13</v>
      </c>
      <c r="D170" s="1">
        <v>70000</v>
      </c>
      <c r="E170">
        <v>3</v>
      </c>
      <c r="F170" t="s">
        <v>30</v>
      </c>
      <c r="G170" t="s">
        <v>16</v>
      </c>
      <c r="H170" t="s">
        <v>20</v>
      </c>
      <c r="I170">
        <v>1</v>
      </c>
      <c r="J170" t="s">
        <v>33</v>
      </c>
      <c r="K170" t="s">
        <v>35</v>
      </c>
      <c r="L170">
        <v>62</v>
      </c>
      <c r="M170" t="s">
        <v>17</v>
      </c>
    </row>
    <row r="171" spans="1:13">
      <c r="A171">
        <v>14228</v>
      </c>
      <c r="B171" t="s">
        <v>25</v>
      </c>
      <c r="C171" t="s">
        <v>13</v>
      </c>
      <c r="D171" s="1">
        <v>100000</v>
      </c>
      <c r="E171">
        <v>2</v>
      </c>
      <c r="F171" t="s">
        <v>15</v>
      </c>
      <c r="G171" t="s">
        <v>31</v>
      </c>
      <c r="H171" t="s">
        <v>17</v>
      </c>
      <c r="I171">
        <v>1</v>
      </c>
      <c r="J171" t="s">
        <v>24</v>
      </c>
      <c r="K171" t="s">
        <v>35</v>
      </c>
      <c r="L171">
        <v>39</v>
      </c>
      <c r="M171" t="s">
        <v>20</v>
      </c>
    </row>
    <row r="172" spans="1:13">
      <c r="A172">
        <v>27003</v>
      </c>
      <c r="B172" t="s">
        <v>25</v>
      </c>
      <c r="C172" t="s">
        <v>13</v>
      </c>
      <c r="D172" s="1">
        <v>30000</v>
      </c>
      <c r="E172">
        <v>1</v>
      </c>
      <c r="F172" t="s">
        <v>30</v>
      </c>
      <c r="G172" t="s">
        <v>22</v>
      </c>
      <c r="H172" t="s">
        <v>20</v>
      </c>
      <c r="I172">
        <v>4</v>
      </c>
      <c r="J172" t="s">
        <v>33</v>
      </c>
      <c r="K172" t="s">
        <v>19</v>
      </c>
      <c r="L172">
        <v>57</v>
      </c>
      <c r="M172" t="s">
        <v>17</v>
      </c>
    </row>
    <row r="173" spans="1:13">
      <c r="A173">
        <v>29392</v>
      </c>
      <c r="B173" t="s">
        <v>13</v>
      </c>
      <c r="C173" t="s">
        <v>13</v>
      </c>
      <c r="D173" s="1">
        <v>130000</v>
      </c>
      <c r="E173">
        <v>4</v>
      </c>
      <c r="F173" t="s">
        <v>34</v>
      </c>
      <c r="G173" t="s">
        <v>31</v>
      </c>
      <c r="H173" t="s">
        <v>17</v>
      </c>
      <c r="I173">
        <v>0</v>
      </c>
      <c r="J173" t="s">
        <v>18</v>
      </c>
      <c r="K173" t="s">
        <v>19</v>
      </c>
      <c r="L173">
        <v>61</v>
      </c>
      <c r="M173" t="s">
        <v>20</v>
      </c>
    </row>
    <row r="174" spans="1:13">
      <c r="A174">
        <v>16907</v>
      </c>
      <c r="B174" t="s">
        <v>25</v>
      </c>
      <c r="C174" t="s">
        <v>13</v>
      </c>
      <c r="D174" s="1">
        <v>120000</v>
      </c>
      <c r="E174">
        <v>5</v>
      </c>
      <c r="F174" t="s">
        <v>36</v>
      </c>
      <c r="G174" t="s">
        <v>31</v>
      </c>
      <c r="H174" t="s">
        <v>20</v>
      </c>
      <c r="I174">
        <v>3</v>
      </c>
      <c r="J174" t="s">
        <v>29</v>
      </c>
      <c r="K174" t="s">
        <v>35</v>
      </c>
      <c r="L174">
        <v>50</v>
      </c>
      <c r="M174" t="s">
        <v>20</v>
      </c>
    </row>
    <row r="175" spans="1:13">
      <c r="A175">
        <v>24861</v>
      </c>
      <c r="B175" t="s">
        <v>13</v>
      </c>
      <c r="C175" t="s">
        <v>13</v>
      </c>
      <c r="D175" s="1">
        <v>40000</v>
      </c>
      <c r="E175">
        <v>3</v>
      </c>
      <c r="F175" t="s">
        <v>21</v>
      </c>
      <c r="G175" t="s">
        <v>28</v>
      </c>
      <c r="H175" t="s">
        <v>20</v>
      </c>
      <c r="I175">
        <v>1</v>
      </c>
      <c r="J175" t="s">
        <v>24</v>
      </c>
      <c r="K175" t="s">
        <v>35</v>
      </c>
      <c r="L175">
        <v>34</v>
      </c>
      <c r="M175" t="s">
        <v>20</v>
      </c>
    </row>
    <row r="176" spans="1:13">
      <c r="A176">
        <v>20463</v>
      </c>
      <c r="B176" t="s">
        <v>25</v>
      </c>
      <c r="C176" t="s">
        <v>14</v>
      </c>
      <c r="D176" s="1">
        <v>100000</v>
      </c>
      <c r="E176">
        <v>4</v>
      </c>
      <c r="F176" t="s">
        <v>21</v>
      </c>
      <c r="G176" t="s">
        <v>23</v>
      </c>
      <c r="H176" t="s">
        <v>17</v>
      </c>
      <c r="I176">
        <v>2</v>
      </c>
      <c r="J176" t="s">
        <v>29</v>
      </c>
      <c r="K176" t="s">
        <v>27</v>
      </c>
      <c r="L176">
        <v>32</v>
      </c>
      <c r="M176" t="s">
        <v>20</v>
      </c>
    </row>
    <row r="177" spans="1:13">
      <c r="A177">
        <v>24732</v>
      </c>
      <c r="B177" t="s">
        <v>13</v>
      </c>
      <c r="C177" t="s">
        <v>13</v>
      </c>
      <c r="D177" s="1">
        <v>60000</v>
      </c>
      <c r="E177">
        <v>3</v>
      </c>
      <c r="F177" t="s">
        <v>15</v>
      </c>
      <c r="G177" t="s">
        <v>16</v>
      </c>
      <c r="H177" t="s">
        <v>20</v>
      </c>
      <c r="I177">
        <v>1</v>
      </c>
      <c r="J177" t="s">
        <v>29</v>
      </c>
      <c r="K177" t="s">
        <v>27</v>
      </c>
      <c r="L177">
        <v>61</v>
      </c>
      <c r="M177" t="s">
        <v>20</v>
      </c>
    </row>
    <row r="178" spans="1:13">
      <c r="A178">
        <v>16220</v>
      </c>
      <c r="B178" t="s">
        <v>13</v>
      </c>
      <c r="C178" t="s">
        <v>14</v>
      </c>
      <c r="D178" s="1">
        <v>40000</v>
      </c>
      <c r="E178">
        <v>2</v>
      </c>
      <c r="F178" t="s">
        <v>34</v>
      </c>
      <c r="G178" t="s">
        <v>28</v>
      </c>
      <c r="H178" t="s">
        <v>20</v>
      </c>
      <c r="I178">
        <v>0</v>
      </c>
      <c r="J178" t="s">
        <v>18</v>
      </c>
      <c r="K178" t="s">
        <v>27</v>
      </c>
      <c r="L178">
        <v>57</v>
      </c>
      <c r="M178" t="s">
        <v>20</v>
      </c>
    </row>
    <row r="179" spans="1:13">
      <c r="A179">
        <v>17888</v>
      </c>
      <c r="B179" t="s">
        <v>13</v>
      </c>
      <c r="C179" t="s">
        <v>14</v>
      </c>
      <c r="D179" s="1">
        <v>60000</v>
      </c>
      <c r="E179">
        <v>3</v>
      </c>
      <c r="F179" t="s">
        <v>15</v>
      </c>
      <c r="G179" t="s">
        <v>16</v>
      </c>
      <c r="H179" t="s">
        <v>20</v>
      </c>
      <c r="I179">
        <v>2</v>
      </c>
      <c r="J179" t="s">
        <v>33</v>
      </c>
      <c r="K179" t="s">
        <v>19</v>
      </c>
      <c r="L179">
        <v>31</v>
      </c>
      <c r="M179" t="s">
        <v>20</v>
      </c>
    </row>
    <row r="180" spans="1:13">
      <c r="A180">
        <v>14388</v>
      </c>
      <c r="B180" t="s">
        <v>25</v>
      </c>
      <c r="C180" t="s">
        <v>14</v>
      </c>
      <c r="D180" s="1">
        <v>60000</v>
      </c>
      <c r="E180">
        <v>3</v>
      </c>
      <c r="F180" t="s">
        <v>36</v>
      </c>
      <c r="G180" t="s">
        <v>23</v>
      </c>
      <c r="H180" t="s">
        <v>17</v>
      </c>
      <c r="I180">
        <v>4</v>
      </c>
      <c r="J180" t="s">
        <v>33</v>
      </c>
      <c r="K180" t="s">
        <v>19</v>
      </c>
      <c r="L180">
        <v>48</v>
      </c>
      <c r="M180" t="s">
        <v>20</v>
      </c>
    </row>
    <row r="181" spans="1:13">
      <c r="A181">
        <v>12409</v>
      </c>
      <c r="B181" t="s">
        <v>25</v>
      </c>
      <c r="C181" t="s">
        <v>14</v>
      </c>
      <c r="D181" s="1">
        <v>120000</v>
      </c>
      <c r="E181">
        <v>4</v>
      </c>
      <c r="F181" t="s">
        <v>34</v>
      </c>
      <c r="G181" t="s">
        <v>23</v>
      </c>
      <c r="H181" t="s">
        <v>17</v>
      </c>
      <c r="I181">
        <v>1</v>
      </c>
      <c r="J181" t="s">
        <v>18</v>
      </c>
      <c r="K181" t="s">
        <v>27</v>
      </c>
      <c r="L181">
        <v>48</v>
      </c>
      <c r="M181" t="s">
        <v>20</v>
      </c>
    </row>
    <row r="182" spans="1:13">
      <c r="A182">
        <v>28279</v>
      </c>
      <c r="B182" t="s">
        <v>25</v>
      </c>
      <c r="C182" t="s">
        <v>13</v>
      </c>
      <c r="D182" s="1">
        <v>160000</v>
      </c>
      <c r="E182">
        <v>3</v>
      </c>
      <c r="F182" t="s">
        <v>21</v>
      </c>
      <c r="G182" t="s">
        <v>31</v>
      </c>
      <c r="H182" t="s">
        <v>17</v>
      </c>
      <c r="I182">
        <v>0</v>
      </c>
      <c r="J182" t="s">
        <v>18</v>
      </c>
      <c r="K182" t="s">
        <v>19</v>
      </c>
      <c r="L182">
        <v>46</v>
      </c>
      <c r="M182" t="s">
        <v>20</v>
      </c>
    </row>
    <row r="183" spans="1:13">
      <c r="A183">
        <v>27017</v>
      </c>
      <c r="B183" t="s">
        <v>25</v>
      </c>
      <c r="C183" t="s">
        <v>13</v>
      </c>
      <c r="D183" s="1">
        <v>100000</v>
      </c>
      <c r="E183">
        <v>2</v>
      </c>
      <c r="F183" t="s">
        <v>34</v>
      </c>
      <c r="G183" t="s">
        <v>31</v>
      </c>
      <c r="H183" t="s">
        <v>20</v>
      </c>
      <c r="I183">
        <v>1</v>
      </c>
      <c r="J183" t="s">
        <v>26</v>
      </c>
      <c r="K183" t="s">
        <v>35</v>
      </c>
      <c r="L183">
        <v>44</v>
      </c>
      <c r="M183" t="s">
        <v>20</v>
      </c>
    </row>
    <row r="184" spans="1:13">
      <c r="A184">
        <v>26623</v>
      </c>
      <c r="B184" t="s">
        <v>25</v>
      </c>
      <c r="C184" t="s">
        <v>14</v>
      </c>
      <c r="D184" s="1">
        <v>60000</v>
      </c>
      <c r="E184">
        <v>2</v>
      </c>
      <c r="F184" t="s">
        <v>36</v>
      </c>
      <c r="G184" t="s">
        <v>16</v>
      </c>
      <c r="H184" t="s">
        <v>17</v>
      </c>
      <c r="I184">
        <v>3</v>
      </c>
      <c r="J184" t="s">
        <v>33</v>
      </c>
      <c r="K184" t="s">
        <v>27</v>
      </c>
      <c r="L184">
        <v>65</v>
      </c>
      <c r="M184" t="s">
        <v>17</v>
      </c>
    </row>
    <row r="185" spans="1:13">
      <c r="A185">
        <v>29559</v>
      </c>
      <c r="B185" t="s">
        <v>25</v>
      </c>
      <c r="C185" t="s">
        <v>14</v>
      </c>
      <c r="D185" s="1">
        <v>110000</v>
      </c>
      <c r="E185">
        <v>5</v>
      </c>
      <c r="F185" t="s">
        <v>34</v>
      </c>
      <c r="G185" t="s">
        <v>31</v>
      </c>
      <c r="H185" t="s">
        <v>17</v>
      </c>
      <c r="I185">
        <v>4</v>
      </c>
      <c r="J185" t="s">
        <v>26</v>
      </c>
      <c r="K185" t="s">
        <v>19</v>
      </c>
      <c r="L185">
        <v>58</v>
      </c>
      <c r="M185" t="s">
        <v>20</v>
      </c>
    </row>
    <row r="186" spans="1:13">
      <c r="A186">
        <v>14842</v>
      </c>
      <c r="B186" t="s">
        <v>13</v>
      </c>
      <c r="C186" t="s">
        <v>13</v>
      </c>
      <c r="D186" s="1">
        <v>50000</v>
      </c>
      <c r="E186">
        <v>0</v>
      </c>
      <c r="F186" t="s">
        <v>34</v>
      </c>
      <c r="G186" t="s">
        <v>16</v>
      </c>
      <c r="H186" t="s">
        <v>20</v>
      </c>
      <c r="I186">
        <v>2</v>
      </c>
      <c r="J186" t="s">
        <v>26</v>
      </c>
      <c r="K186" t="s">
        <v>19</v>
      </c>
      <c r="L186">
        <v>51</v>
      </c>
      <c r="M186" t="s">
        <v>17</v>
      </c>
    </row>
    <row r="187" spans="1:13">
      <c r="A187">
        <v>23447</v>
      </c>
      <c r="B187" t="s">
        <v>25</v>
      </c>
      <c r="C187" t="s">
        <v>13</v>
      </c>
      <c r="D187" s="1">
        <v>110000</v>
      </c>
      <c r="E187">
        <v>4</v>
      </c>
      <c r="F187" t="s">
        <v>21</v>
      </c>
      <c r="G187" t="s">
        <v>31</v>
      </c>
      <c r="H187" t="s">
        <v>20</v>
      </c>
      <c r="I187">
        <v>3</v>
      </c>
      <c r="J187" t="s">
        <v>33</v>
      </c>
      <c r="K187" t="s">
        <v>27</v>
      </c>
      <c r="L187">
        <v>45</v>
      </c>
      <c r="M187" t="s">
        <v>17</v>
      </c>
    </row>
    <row r="188" spans="1:13">
      <c r="A188">
        <v>25062</v>
      </c>
      <c r="B188" t="s">
        <v>25</v>
      </c>
      <c r="C188" t="s">
        <v>14</v>
      </c>
      <c r="D188" s="1">
        <v>150000</v>
      </c>
      <c r="E188">
        <v>1</v>
      </c>
      <c r="F188" t="s">
        <v>30</v>
      </c>
      <c r="G188" t="s">
        <v>31</v>
      </c>
      <c r="H188" t="s">
        <v>17</v>
      </c>
      <c r="I188">
        <v>2</v>
      </c>
      <c r="J188" t="s">
        <v>33</v>
      </c>
      <c r="K188" t="s">
        <v>27</v>
      </c>
      <c r="L188">
        <v>39</v>
      </c>
      <c r="M188" t="s">
        <v>20</v>
      </c>
    </row>
    <row r="189" spans="1:13">
      <c r="A189">
        <v>19470</v>
      </c>
      <c r="B189" t="s">
        <v>13</v>
      </c>
      <c r="C189" t="s">
        <v>14</v>
      </c>
      <c r="D189" s="1">
        <v>30000</v>
      </c>
      <c r="E189">
        <v>4</v>
      </c>
      <c r="F189" t="s">
        <v>30</v>
      </c>
      <c r="G189" t="s">
        <v>28</v>
      </c>
      <c r="H189" t="s">
        <v>20</v>
      </c>
      <c r="I189">
        <v>2</v>
      </c>
      <c r="J189" t="s">
        <v>18</v>
      </c>
      <c r="K189" t="s">
        <v>35</v>
      </c>
      <c r="L189">
        <v>59</v>
      </c>
      <c r="M189" t="s">
        <v>20</v>
      </c>
    </row>
    <row r="190" spans="1:13">
      <c r="A190">
        <v>22928</v>
      </c>
      <c r="B190" t="s">
        <v>25</v>
      </c>
      <c r="C190" t="s">
        <v>13</v>
      </c>
      <c r="D190" s="1">
        <v>60000</v>
      </c>
      <c r="E190">
        <v>5</v>
      </c>
      <c r="F190" t="s">
        <v>30</v>
      </c>
      <c r="G190" t="s">
        <v>16</v>
      </c>
      <c r="H190" t="s">
        <v>17</v>
      </c>
      <c r="I190">
        <v>2</v>
      </c>
      <c r="J190" t="s">
        <v>26</v>
      </c>
      <c r="K190" t="s">
        <v>35</v>
      </c>
      <c r="L190">
        <v>41</v>
      </c>
      <c r="M190" t="s">
        <v>20</v>
      </c>
    </row>
    <row r="191" spans="1:13">
      <c r="A191">
        <v>17011</v>
      </c>
      <c r="B191" t="s">
        <v>13</v>
      </c>
      <c r="C191" t="s">
        <v>14</v>
      </c>
      <c r="D191" s="1">
        <v>70000</v>
      </c>
      <c r="E191">
        <v>0</v>
      </c>
      <c r="F191" t="s">
        <v>34</v>
      </c>
      <c r="G191" t="s">
        <v>23</v>
      </c>
      <c r="H191" t="s">
        <v>17</v>
      </c>
      <c r="I191">
        <v>1</v>
      </c>
      <c r="J191" t="s">
        <v>18</v>
      </c>
      <c r="K191" t="s">
        <v>35</v>
      </c>
      <c r="L191">
        <v>58</v>
      </c>
      <c r="M191" t="s">
        <v>17</v>
      </c>
    </row>
    <row r="192" spans="1:13">
      <c r="A192">
        <v>17629</v>
      </c>
      <c r="B192" t="s">
        <v>13</v>
      </c>
      <c r="C192" t="s">
        <v>13</v>
      </c>
      <c r="D192" s="1">
        <v>110000</v>
      </c>
      <c r="E192">
        <v>3</v>
      </c>
      <c r="F192" t="s">
        <v>36</v>
      </c>
      <c r="G192" t="s">
        <v>23</v>
      </c>
      <c r="H192" t="s">
        <v>17</v>
      </c>
      <c r="I192">
        <v>1</v>
      </c>
      <c r="J192" t="s">
        <v>18</v>
      </c>
      <c r="K192" t="s">
        <v>35</v>
      </c>
      <c r="L192">
        <v>35</v>
      </c>
      <c r="M192" t="s">
        <v>20</v>
      </c>
    </row>
    <row r="193" spans="1:13">
      <c r="A193">
        <v>25587</v>
      </c>
      <c r="B193" t="s">
        <v>25</v>
      </c>
      <c r="C193" t="s">
        <v>13</v>
      </c>
      <c r="D193" s="1">
        <v>80000</v>
      </c>
      <c r="E193">
        <v>5</v>
      </c>
      <c r="F193" t="s">
        <v>30</v>
      </c>
      <c r="G193" t="s">
        <v>23</v>
      </c>
      <c r="H193" t="s">
        <v>17</v>
      </c>
      <c r="I193">
        <v>0</v>
      </c>
      <c r="J193" t="s">
        <v>33</v>
      </c>
      <c r="K193" t="s">
        <v>19</v>
      </c>
      <c r="L193">
        <v>59</v>
      </c>
      <c r="M193" t="s">
        <v>17</v>
      </c>
    </row>
    <row r="194" spans="1:13">
      <c r="A194">
        <v>15736</v>
      </c>
      <c r="B194" t="s">
        <v>25</v>
      </c>
      <c r="C194" t="s">
        <v>13</v>
      </c>
      <c r="D194" s="1">
        <v>40000</v>
      </c>
      <c r="E194">
        <v>1</v>
      </c>
      <c r="F194" t="s">
        <v>15</v>
      </c>
      <c r="G194" t="s">
        <v>28</v>
      </c>
      <c r="H194" t="s">
        <v>20</v>
      </c>
      <c r="I194">
        <v>0</v>
      </c>
      <c r="J194" t="s">
        <v>18</v>
      </c>
      <c r="K194" t="s">
        <v>27</v>
      </c>
      <c r="L194">
        <v>61</v>
      </c>
      <c r="M194" t="s">
        <v>17</v>
      </c>
    </row>
    <row r="195" spans="1:13">
      <c r="A195">
        <v>20978</v>
      </c>
      <c r="B195" t="s">
        <v>25</v>
      </c>
      <c r="C195" t="s">
        <v>14</v>
      </c>
      <c r="D195" s="1">
        <v>150000</v>
      </c>
      <c r="E195">
        <v>1</v>
      </c>
      <c r="F195" t="s">
        <v>34</v>
      </c>
      <c r="G195" t="s">
        <v>31</v>
      </c>
      <c r="H195" t="s">
        <v>20</v>
      </c>
      <c r="I195">
        <v>2</v>
      </c>
      <c r="J195" t="s">
        <v>29</v>
      </c>
      <c r="K195" t="s">
        <v>19</v>
      </c>
      <c r="L195">
        <v>46</v>
      </c>
      <c r="M195" t="s">
        <v>17</v>
      </c>
    </row>
    <row r="196" spans="1:13">
      <c r="A196">
        <v>25037</v>
      </c>
      <c r="B196" t="s">
        <v>25</v>
      </c>
      <c r="C196" t="s">
        <v>13</v>
      </c>
      <c r="D196" s="1">
        <v>120000</v>
      </c>
      <c r="E196">
        <v>2</v>
      </c>
      <c r="F196" t="s">
        <v>15</v>
      </c>
      <c r="G196" t="s">
        <v>23</v>
      </c>
      <c r="H196" t="s">
        <v>17</v>
      </c>
      <c r="I196">
        <v>1</v>
      </c>
      <c r="J196" t="s">
        <v>33</v>
      </c>
      <c r="K196" t="s">
        <v>35</v>
      </c>
      <c r="L196">
        <v>50</v>
      </c>
      <c r="M196" t="s">
        <v>20</v>
      </c>
    </row>
    <row r="197" spans="1:13">
      <c r="A197">
        <v>26884</v>
      </c>
      <c r="B197" t="s">
        <v>25</v>
      </c>
      <c r="C197" t="s">
        <v>13</v>
      </c>
      <c r="D197" s="1">
        <v>50000</v>
      </c>
      <c r="E197">
        <v>1</v>
      </c>
      <c r="F197" t="s">
        <v>36</v>
      </c>
      <c r="G197" t="s">
        <v>16</v>
      </c>
      <c r="H197" t="s">
        <v>20</v>
      </c>
      <c r="I197">
        <v>2</v>
      </c>
      <c r="J197" t="s">
        <v>29</v>
      </c>
      <c r="K197" t="s">
        <v>19</v>
      </c>
      <c r="L197">
        <v>41</v>
      </c>
      <c r="M197" t="s">
        <v>20</v>
      </c>
    </row>
    <row r="198" spans="1:13">
      <c r="A198">
        <v>17717</v>
      </c>
      <c r="B198" t="s">
        <v>25</v>
      </c>
      <c r="C198" t="s">
        <v>14</v>
      </c>
      <c r="D198" s="1">
        <v>100000</v>
      </c>
      <c r="E198">
        <v>5</v>
      </c>
      <c r="F198" t="s">
        <v>30</v>
      </c>
      <c r="G198" t="s">
        <v>23</v>
      </c>
      <c r="H198" t="s">
        <v>17</v>
      </c>
      <c r="I198">
        <v>2</v>
      </c>
      <c r="J198" t="s">
        <v>24</v>
      </c>
      <c r="K198" t="s">
        <v>35</v>
      </c>
      <c r="L198">
        <v>40</v>
      </c>
      <c r="M198" t="s">
        <v>17</v>
      </c>
    </row>
    <row r="199" spans="1:13">
      <c r="A199">
        <v>13873</v>
      </c>
      <c r="B199" t="s">
        <v>25</v>
      </c>
      <c r="C199" t="s">
        <v>14</v>
      </c>
      <c r="D199" s="1">
        <v>30000</v>
      </c>
      <c r="E199">
        <v>5</v>
      </c>
      <c r="F199" t="s">
        <v>21</v>
      </c>
      <c r="G199" t="s">
        <v>28</v>
      </c>
      <c r="H199" t="s">
        <v>17</v>
      </c>
      <c r="I199">
        <v>2</v>
      </c>
      <c r="J199" t="s">
        <v>24</v>
      </c>
      <c r="K199" t="s">
        <v>35</v>
      </c>
      <c r="L199">
        <v>39</v>
      </c>
      <c r="M199" t="s">
        <v>17</v>
      </c>
    </row>
    <row r="200" spans="1:13">
      <c r="A200">
        <v>14376</v>
      </c>
      <c r="B200" t="s">
        <v>25</v>
      </c>
      <c r="C200" t="s">
        <v>13</v>
      </c>
      <c r="D200" s="1">
        <v>130000</v>
      </c>
      <c r="E200">
        <v>3</v>
      </c>
      <c r="F200" t="s">
        <v>36</v>
      </c>
      <c r="G200" t="s">
        <v>31</v>
      </c>
      <c r="H200" t="s">
        <v>20</v>
      </c>
      <c r="I200">
        <v>4</v>
      </c>
      <c r="J200" t="s">
        <v>29</v>
      </c>
      <c r="K200" t="s">
        <v>19</v>
      </c>
      <c r="L200">
        <v>63</v>
      </c>
      <c r="M200" t="s">
        <v>17</v>
      </c>
    </row>
    <row r="201" spans="1:13">
      <c r="A201">
        <v>27219</v>
      </c>
      <c r="B201" t="s">
        <v>25</v>
      </c>
      <c r="C201" t="s">
        <v>14</v>
      </c>
      <c r="D201" s="1">
        <v>90000</v>
      </c>
      <c r="E201">
        <v>0</v>
      </c>
      <c r="F201" t="s">
        <v>15</v>
      </c>
      <c r="G201" t="s">
        <v>31</v>
      </c>
      <c r="H201" t="s">
        <v>17</v>
      </c>
      <c r="I201">
        <v>4</v>
      </c>
      <c r="J201" t="s">
        <v>33</v>
      </c>
      <c r="K201" t="s">
        <v>19</v>
      </c>
      <c r="L201">
        <v>35</v>
      </c>
      <c r="M201" t="s">
        <v>20</v>
      </c>
    </row>
    <row r="202" spans="1:13">
      <c r="A202">
        <v>27050</v>
      </c>
      <c r="B202" t="s">
        <v>25</v>
      </c>
      <c r="C202" t="s">
        <v>13</v>
      </c>
      <c r="D202" s="1">
        <v>150000</v>
      </c>
      <c r="E202">
        <v>0</v>
      </c>
      <c r="F202" t="s">
        <v>21</v>
      </c>
      <c r="G202" t="s">
        <v>31</v>
      </c>
      <c r="H202" t="s">
        <v>20</v>
      </c>
      <c r="I202">
        <v>0</v>
      </c>
      <c r="J202" t="s">
        <v>26</v>
      </c>
      <c r="K202" t="s">
        <v>19</v>
      </c>
      <c r="L202">
        <v>57</v>
      </c>
      <c r="M202" t="s">
        <v>20</v>
      </c>
    </row>
    <row r="203" spans="1:13">
      <c r="A203">
        <v>24968</v>
      </c>
      <c r="B203" t="s">
        <v>13</v>
      </c>
      <c r="C203" t="s">
        <v>14</v>
      </c>
      <c r="D203" s="1">
        <v>70000</v>
      </c>
      <c r="E203">
        <v>2</v>
      </c>
      <c r="F203" t="s">
        <v>30</v>
      </c>
      <c r="G203" t="s">
        <v>16</v>
      </c>
      <c r="H203" t="s">
        <v>17</v>
      </c>
      <c r="I203">
        <v>1</v>
      </c>
      <c r="J203" t="s">
        <v>33</v>
      </c>
      <c r="K203" t="s">
        <v>19</v>
      </c>
      <c r="L203">
        <v>27</v>
      </c>
      <c r="M203" t="s">
        <v>20</v>
      </c>
    </row>
    <row r="204" spans="1:13">
      <c r="A204">
        <v>21289</v>
      </c>
      <c r="B204" t="s">
        <v>13</v>
      </c>
      <c r="C204" t="s">
        <v>13</v>
      </c>
      <c r="D204" s="1">
        <v>10000</v>
      </c>
      <c r="E204">
        <v>2</v>
      </c>
      <c r="F204" t="s">
        <v>15</v>
      </c>
      <c r="G204" t="s">
        <v>28</v>
      </c>
      <c r="H204" t="s">
        <v>20</v>
      </c>
      <c r="I204">
        <v>1</v>
      </c>
      <c r="J204" t="s">
        <v>29</v>
      </c>
      <c r="K204" t="s">
        <v>35</v>
      </c>
      <c r="L204">
        <v>51</v>
      </c>
      <c r="M204" t="s">
        <v>20</v>
      </c>
    </row>
    <row r="205" spans="1:13">
      <c r="A205">
        <v>22533</v>
      </c>
      <c r="B205" t="s">
        <v>25</v>
      </c>
      <c r="C205" t="s">
        <v>14</v>
      </c>
      <c r="D205" s="1">
        <v>80000</v>
      </c>
      <c r="E205">
        <v>1</v>
      </c>
      <c r="F205" t="s">
        <v>36</v>
      </c>
      <c r="G205" t="s">
        <v>16</v>
      </c>
      <c r="H205" t="s">
        <v>20</v>
      </c>
      <c r="I205">
        <v>0</v>
      </c>
      <c r="J205" t="s">
        <v>29</v>
      </c>
      <c r="K205" t="s">
        <v>35</v>
      </c>
      <c r="L205">
        <v>50</v>
      </c>
      <c r="M205" t="s">
        <v>17</v>
      </c>
    </row>
    <row r="206" spans="1:13">
      <c r="A206">
        <v>17297</v>
      </c>
      <c r="B206" t="s">
        <v>13</v>
      </c>
      <c r="C206" t="s">
        <v>13</v>
      </c>
      <c r="D206" s="1">
        <v>40000</v>
      </c>
      <c r="E206">
        <v>4</v>
      </c>
      <c r="F206" t="s">
        <v>30</v>
      </c>
      <c r="G206" t="s">
        <v>28</v>
      </c>
      <c r="H206" t="s">
        <v>20</v>
      </c>
      <c r="I206">
        <v>1</v>
      </c>
      <c r="J206" t="s">
        <v>29</v>
      </c>
      <c r="K206" t="s">
        <v>27</v>
      </c>
      <c r="L206">
        <v>47</v>
      </c>
      <c r="M206" t="s">
        <v>17</v>
      </c>
    </row>
    <row r="207" spans="1:13">
      <c r="A207">
        <v>19032</v>
      </c>
      <c r="B207" t="s">
        <v>13</v>
      </c>
      <c r="C207" t="s">
        <v>13</v>
      </c>
      <c r="D207" s="1">
        <v>10000</v>
      </c>
      <c r="E207">
        <v>1</v>
      </c>
      <c r="F207" t="s">
        <v>15</v>
      </c>
      <c r="G207" t="s">
        <v>28</v>
      </c>
      <c r="H207" t="s">
        <v>17</v>
      </c>
      <c r="I207">
        <v>0</v>
      </c>
      <c r="J207" t="s">
        <v>18</v>
      </c>
      <c r="K207" t="s">
        <v>35</v>
      </c>
      <c r="L207">
        <v>27</v>
      </c>
      <c r="M207" t="s">
        <v>20</v>
      </c>
    </row>
    <row r="208" spans="1:13">
      <c r="A208">
        <v>29588</v>
      </c>
      <c r="B208" t="s">
        <v>13</v>
      </c>
      <c r="C208" t="s">
        <v>13</v>
      </c>
      <c r="D208" s="1">
        <v>40000</v>
      </c>
      <c r="E208">
        <v>1</v>
      </c>
      <c r="F208" t="s">
        <v>15</v>
      </c>
      <c r="G208" t="s">
        <v>28</v>
      </c>
      <c r="H208" t="s">
        <v>17</v>
      </c>
      <c r="I208">
        <v>0</v>
      </c>
      <c r="J208" t="s">
        <v>29</v>
      </c>
      <c r="K208" t="s">
        <v>35</v>
      </c>
      <c r="L208">
        <v>43</v>
      </c>
      <c r="M208" t="s">
        <v>17</v>
      </c>
    </row>
    <row r="209" spans="1:13">
      <c r="A209">
        <v>28877</v>
      </c>
      <c r="B209" t="s">
        <v>25</v>
      </c>
      <c r="C209" t="s">
        <v>14</v>
      </c>
      <c r="D209" s="1">
        <v>70000</v>
      </c>
      <c r="E209">
        <v>5</v>
      </c>
      <c r="F209" t="s">
        <v>21</v>
      </c>
      <c r="G209" t="s">
        <v>23</v>
      </c>
      <c r="H209" t="s">
        <v>17</v>
      </c>
      <c r="I209">
        <v>3</v>
      </c>
      <c r="J209" t="s">
        <v>24</v>
      </c>
      <c r="K209" t="s">
        <v>27</v>
      </c>
      <c r="L209">
        <v>28</v>
      </c>
      <c r="M209" t="s">
        <v>17</v>
      </c>
    </row>
    <row r="210" spans="1:13">
      <c r="A210">
        <v>23998</v>
      </c>
      <c r="B210" t="s">
        <v>25</v>
      </c>
      <c r="C210" t="s">
        <v>13</v>
      </c>
      <c r="D210" s="1">
        <v>30000</v>
      </c>
      <c r="E210">
        <v>5</v>
      </c>
      <c r="F210" t="s">
        <v>30</v>
      </c>
      <c r="G210" t="s">
        <v>28</v>
      </c>
      <c r="H210" t="s">
        <v>20</v>
      </c>
      <c r="I210">
        <v>3</v>
      </c>
      <c r="J210" t="s">
        <v>29</v>
      </c>
      <c r="K210" t="s">
        <v>27</v>
      </c>
      <c r="L210">
        <v>49</v>
      </c>
      <c r="M210" t="s">
        <v>17</v>
      </c>
    </row>
    <row r="211" spans="1:13">
      <c r="A211">
        <v>27626</v>
      </c>
      <c r="B211" t="s">
        <v>25</v>
      </c>
      <c r="C211" t="s">
        <v>13</v>
      </c>
      <c r="D211" s="1">
        <v>120000</v>
      </c>
      <c r="E211">
        <v>5</v>
      </c>
      <c r="F211" t="s">
        <v>21</v>
      </c>
      <c r="G211" t="s">
        <v>23</v>
      </c>
      <c r="H211" t="s">
        <v>17</v>
      </c>
      <c r="I211">
        <v>3</v>
      </c>
      <c r="J211" t="s">
        <v>18</v>
      </c>
      <c r="K211" t="s">
        <v>35</v>
      </c>
      <c r="L211">
        <v>51</v>
      </c>
      <c r="M211" t="s">
        <v>20</v>
      </c>
    </row>
  </sheetData>
  <autoFilter ref="A1:M2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08D0-5007-4C20-B0FC-45B62AFFC292}">
  <dimension ref="A1:N211"/>
  <sheetViews>
    <sheetView workbookViewId="0">
      <selection activeCell="L1" sqref="L1"/>
    </sheetView>
  </sheetViews>
  <sheetFormatPr defaultRowHeight="15"/>
  <cols>
    <col min="2" max="2" width="15.5703125" customWidth="1"/>
    <col min="4" max="4" width="13.28515625" style="5" customWidth="1"/>
    <col min="6" max="6" width="18.28515625" customWidth="1"/>
    <col min="7" max="7" width="15.85546875" customWidth="1"/>
    <col min="8" max="8" width="13.5703125" customWidth="1"/>
    <col min="10" max="10" width="14.5703125" customWidth="1"/>
    <col min="13" max="13" width="12.5703125" customWidth="1"/>
    <col min="14" max="14" width="15.42578125" customWidth="1"/>
  </cols>
  <sheetData>
    <row r="1" spans="1:14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37</v>
      </c>
      <c r="N1" s="2" t="s">
        <v>12</v>
      </c>
    </row>
    <row r="2" spans="1:14">
      <c r="A2">
        <v>12496</v>
      </c>
      <c r="B2" t="s">
        <v>38</v>
      </c>
      <c r="C2" t="s">
        <v>39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IF(L2&gt;55,"Old",IF(L2&lt;30,"Young","Adults"))</f>
        <v>Adults</v>
      </c>
      <c r="N2" t="s">
        <v>20</v>
      </c>
    </row>
    <row r="3" spans="1:14">
      <c r="A3">
        <v>24107</v>
      </c>
      <c r="B3" t="s">
        <v>38</v>
      </c>
      <c r="C3" t="s">
        <v>40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IF(L3&gt;55,"Old",IF(L3&lt;30,"Young","Adults"))</f>
        <v>Adults</v>
      </c>
      <c r="N3" t="s">
        <v>20</v>
      </c>
    </row>
    <row r="4" spans="1:14">
      <c r="A4">
        <v>14177</v>
      </c>
      <c r="B4" t="s">
        <v>38</v>
      </c>
      <c r="C4" t="s">
        <v>40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41</v>
      </c>
      <c r="C5" t="s">
        <v>40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Adults</v>
      </c>
      <c r="N5" t="s">
        <v>17</v>
      </c>
    </row>
    <row r="6" spans="1:14">
      <c r="A6">
        <v>25597</v>
      </c>
      <c r="B6" t="s">
        <v>41</v>
      </c>
      <c r="C6" t="s">
        <v>40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Adults</v>
      </c>
      <c r="N6" t="s">
        <v>17</v>
      </c>
    </row>
    <row r="7" spans="1:14">
      <c r="A7">
        <v>13507</v>
      </c>
      <c r="B7" t="s">
        <v>38</v>
      </c>
      <c r="C7" t="s">
        <v>39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Adults</v>
      </c>
      <c r="N7" t="s">
        <v>20</v>
      </c>
    </row>
    <row r="8" spans="1:14">
      <c r="A8">
        <v>27974</v>
      </c>
      <c r="B8" t="s">
        <v>41</v>
      </c>
      <c r="C8" t="s">
        <v>40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Adults</v>
      </c>
      <c r="N8" t="s">
        <v>17</v>
      </c>
    </row>
    <row r="9" spans="1:14">
      <c r="A9">
        <v>19364</v>
      </c>
      <c r="B9" t="s">
        <v>38</v>
      </c>
      <c r="C9" t="s">
        <v>40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Adults</v>
      </c>
      <c r="N9" t="s">
        <v>17</v>
      </c>
    </row>
    <row r="10" spans="1:14">
      <c r="A10">
        <v>22155</v>
      </c>
      <c r="B10" t="s">
        <v>38</v>
      </c>
      <c r="C10" t="s">
        <v>40</v>
      </c>
      <c r="D10" s="5">
        <v>20000</v>
      </c>
      <c r="E10">
        <v>2</v>
      </c>
      <c r="F10" t="s">
        <v>42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38</v>
      </c>
      <c r="C11" t="s">
        <v>40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Adults</v>
      </c>
      <c r="N11" t="s">
        <v>17</v>
      </c>
    </row>
    <row r="12" spans="1:14">
      <c r="A12">
        <v>22173</v>
      </c>
      <c r="B12" t="s">
        <v>38</v>
      </c>
      <c r="C12" t="s">
        <v>39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Adults</v>
      </c>
      <c r="N12" t="s">
        <v>17</v>
      </c>
    </row>
    <row r="13" spans="1:14">
      <c r="A13">
        <v>12697</v>
      </c>
      <c r="B13" t="s">
        <v>41</v>
      </c>
      <c r="C13" t="s">
        <v>39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43</v>
      </c>
      <c r="K13" t="s">
        <v>27</v>
      </c>
      <c r="L13">
        <v>36</v>
      </c>
      <c r="M13" t="str">
        <f t="shared" si="0"/>
        <v>Adults</v>
      </c>
      <c r="N13" t="s">
        <v>20</v>
      </c>
    </row>
    <row r="14" spans="1:14">
      <c r="A14">
        <v>11434</v>
      </c>
      <c r="B14" t="s">
        <v>38</v>
      </c>
      <c r="C14" t="s">
        <v>40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Adults</v>
      </c>
      <c r="N14" t="s">
        <v>20</v>
      </c>
    </row>
    <row r="15" spans="1:14">
      <c r="A15">
        <v>25323</v>
      </c>
      <c r="B15" t="s">
        <v>38</v>
      </c>
      <c r="C15" t="s">
        <v>40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Adults</v>
      </c>
      <c r="N15" t="s">
        <v>17</v>
      </c>
    </row>
    <row r="16" spans="1:14">
      <c r="A16">
        <v>23542</v>
      </c>
      <c r="B16" t="s">
        <v>41</v>
      </c>
      <c r="C16" t="s">
        <v>40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Adults</v>
      </c>
      <c r="N16" t="s">
        <v>17</v>
      </c>
    </row>
    <row r="17" spans="1:14">
      <c r="A17">
        <v>20870</v>
      </c>
      <c r="B17" t="s">
        <v>41</v>
      </c>
      <c r="C17" t="s">
        <v>39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Adults</v>
      </c>
      <c r="N17" t="s">
        <v>17</v>
      </c>
    </row>
    <row r="18" spans="1:14">
      <c r="A18">
        <v>23316</v>
      </c>
      <c r="B18" t="s">
        <v>41</v>
      </c>
      <c r="C18" t="s">
        <v>40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Adults</v>
      </c>
      <c r="N19" t="s">
        <v>20</v>
      </c>
    </row>
    <row r="20" spans="1:14">
      <c r="A20">
        <v>27183</v>
      </c>
      <c r="B20" t="s">
        <v>41</v>
      </c>
      <c r="C20" t="s">
        <v>40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Adults</v>
      </c>
      <c r="N20" t="s">
        <v>17</v>
      </c>
    </row>
    <row r="21" spans="1:14">
      <c r="A21">
        <v>25940</v>
      </c>
      <c r="B21" t="s">
        <v>41</v>
      </c>
      <c r="C21" t="s">
        <v>40</v>
      </c>
      <c r="D21" s="5">
        <v>20000</v>
      </c>
      <c r="E21">
        <v>2</v>
      </c>
      <c r="F21" t="s">
        <v>42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Adults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2</v>
      </c>
      <c r="J22" t="s">
        <v>29</v>
      </c>
      <c r="K22" t="s">
        <v>19</v>
      </c>
      <c r="L22">
        <v>36</v>
      </c>
      <c r="M22" t="str">
        <f t="shared" si="0"/>
        <v>Adults</v>
      </c>
      <c r="N22" t="s">
        <v>17</v>
      </c>
    </row>
    <row r="23" spans="1:14">
      <c r="A23">
        <v>21564</v>
      </c>
      <c r="B23" t="s">
        <v>41</v>
      </c>
      <c r="C23" t="s">
        <v>39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43</v>
      </c>
      <c r="K23" t="s">
        <v>27</v>
      </c>
      <c r="L23">
        <v>35</v>
      </c>
      <c r="M23" t="str">
        <f t="shared" si="0"/>
        <v>Adults</v>
      </c>
      <c r="N23" t="s">
        <v>20</v>
      </c>
    </row>
    <row r="24" spans="1:14">
      <c r="A24">
        <v>19193</v>
      </c>
      <c r="B24" t="s">
        <v>41</v>
      </c>
      <c r="C24" t="s">
        <v>40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Adults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41</v>
      </c>
      <c r="C26" t="s">
        <v>40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Adults</v>
      </c>
      <c r="N26" t="s">
        <v>20</v>
      </c>
    </row>
    <row r="27" spans="1:14">
      <c r="A27">
        <v>13648</v>
      </c>
      <c r="B27" t="s">
        <v>38</v>
      </c>
      <c r="C27" t="s">
        <v>39</v>
      </c>
      <c r="D27" s="5">
        <v>20000</v>
      </c>
      <c r="E27">
        <v>5</v>
      </c>
      <c r="F27" t="s">
        <v>21</v>
      </c>
      <c r="G27" t="s">
        <v>22</v>
      </c>
      <c r="H27" t="s">
        <v>17</v>
      </c>
      <c r="I27">
        <v>4</v>
      </c>
      <c r="J27" t="s">
        <v>18</v>
      </c>
      <c r="K27" t="s">
        <v>35</v>
      </c>
      <c r="L27">
        <v>52</v>
      </c>
      <c r="M27" t="str">
        <f t="shared" si="0"/>
        <v>Adults</v>
      </c>
      <c r="N27" t="s">
        <v>17</v>
      </c>
    </row>
    <row r="28" spans="1:14">
      <c r="A28">
        <v>10976</v>
      </c>
      <c r="B28" t="s">
        <v>38</v>
      </c>
      <c r="C28" t="s">
        <v>40</v>
      </c>
      <c r="D28" s="5">
        <v>170000</v>
      </c>
      <c r="E28">
        <v>0</v>
      </c>
      <c r="F28" t="s">
        <v>21</v>
      </c>
      <c r="G28" t="s">
        <v>31</v>
      </c>
      <c r="H28" t="s">
        <v>17</v>
      </c>
      <c r="I28">
        <v>4</v>
      </c>
      <c r="J28" t="s">
        <v>26</v>
      </c>
      <c r="K28" t="s">
        <v>19</v>
      </c>
      <c r="L28">
        <v>53</v>
      </c>
      <c r="M28" t="str">
        <f t="shared" si="0"/>
        <v>Adults</v>
      </c>
      <c r="N28" t="s">
        <v>20</v>
      </c>
    </row>
    <row r="29" spans="1:14">
      <c r="A29">
        <v>10212</v>
      </c>
      <c r="B29" t="s">
        <v>38</v>
      </c>
      <c r="C29" t="s">
        <v>39</v>
      </c>
      <c r="D29" s="5">
        <v>70000</v>
      </c>
      <c r="E29">
        <v>1</v>
      </c>
      <c r="F29" t="s">
        <v>30</v>
      </c>
      <c r="G29" t="s">
        <v>23</v>
      </c>
      <c r="H29" t="s">
        <v>20</v>
      </c>
      <c r="I29">
        <v>0</v>
      </c>
      <c r="J29" t="s">
        <v>18</v>
      </c>
      <c r="K29" t="s">
        <v>27</v>
      </c>
      <c r="L29">
        <v>31</v>
      </c>
      <c r="M29" t="str">
        <f t="shared" si="0"/>
        <v>Adults</v>
      </c>
      <c r="N29" t="s">
        <v>20</v>
      </c>
    </row>
    <row r="30" spans="1:14">
      <c r="A30">
        <v>21270</v>
      </c>
      <c r="B30" t="s">
        <v>41</v>
      </c>
      <c r="C30" t="s">
        <v>40</v>
      </c>
      <c r="D30" s="5">
        <v>90000</v>
      </c>
      <c r="E30">
        <v>3</v>
      </c>
      <c r="F30" t="s">
        <v>42</v>
      </c>
      <c r="G30" t="s">
        <v>31</v>
      </c>
      <c r="H30" t="s">
        <v>17</v>
      </c>
      <c r="I30">
        <v>4</v>
      </c>
      <c r="J30" t="s">
        <v>24</v>
      </c>
      <c r="K30" t="s">
        <v>35</v>
      </c>
      <c r="L30">
        <v>64</v>
      </c>
      <c r="M30" t="str">
        <f t="shared" si="0"/>
        <v>Old</v>
      </c>
      <c r="N30" t="s">
        <v>20</v>
      </c>
    </row>
    <row r="31" spans="1:14">
      <c r="A31">
        <v>28918</v>
      </c>
      <c r="B31" t="s">
        <v>38</v>
      </c>
      <c r="C31" t="s">
        <v>40</v>
      </c>
      <c r="D31" s="5">
        <v>30000</v>
      </c>
      <c r="E31">
        <v>0</v>
      </c>
      <c r="F31" t="s">
        <v>15</v>
      </c>
      <c r="G31" t="s">
        <v>22</v>
      </c>
      <c r="H31" t="s">
        <v>17</v>
      </c>
      <c r="I31">
        <v>0</v>
      </c>
      <c r="J31" t="s">
        <v>26</v>
      </c>
      <c r="K31" t="s">
        <v>27</v>
      </c>
      <c r="L31">
        <v>54</v>
      </c>
      <c r="M31" t="str">
        <f t="shared" si="0"/>
        <v>Adults</v>
      </c>
      <c r="N31" t="s">
        <v>20</v>
      </c>
    </row>
    <row r="32" spans="1:14">
      <c r="A32">
        <v>15329</v>
      </c>
      <c r="B32" t="s">
        <v>41</v>
      </c>
      <c r="C32" t="s">
        <v>39</v>
      </c>
      <c r="D32" s="5">
        <v>110000</v>
      </c>
      <c r="E32">
        <v>5</v>
      </c>
      <c r="F32" t="s">
        <v>21</v>
      </c>
      <c r="G32" t="s">
        <v>23</v>
      </c>
      <c r="H32" t="s">
        <v>17</v>
      </c>
      <c r="I32">
        <v>4</v>
      </c>
      <c r="J32" t="s">
        <v>29</v>
      </c>
      <c r="K32" t="s">
        <v>35</v>
      </c>
      <c r="L32">
        <v>40</v>
      </c>
      <c r="M32" t="str">
        <f t="shared" si="0"/>
        <v>Adults</v>
      </c>
      <c r="N32" t="s">
        <v>17</v>
      </c>
    </row>
    <row r="33" spans="1:14">
      <c r="A33">
        <v>25147</v>
      </c>
      <c r="B33" t="s">
        <v>41</v>
      </c>
      <c r="C33" t="s">
        <v>39</v>
      </c>
      <c r="D33" s="5">
        <v>30000</v>
      </c>
      <c r="E33">
        <v>0</v>
      </c>
      <c r="F33" t="s">
        <v>34</v>
      </c>
      <c r="G33" t="s">
        <v>22</v>
      </c>
      <c r="H33" t="s">
        <v>17</v>
      </c>
      <c r="I33">
        <v>0</v>
      </c>
      <c r="J33" t="s">
        <v>24</v>
      </c>
      <c r="K33" t="s">
        <v>27</v>
      </c>
      <c r="L33">
        <v>42</v>
      </c>
      <c r="M33" t="str">
        <f t="shared" si="0"/>
        <v>Adults</v>
      </c>
      <c r="N33" t="s">
        <v>17</v>
      </c>
    </row>
    <row r="34" spans="1:14">
      <c r="A34">
        <v>16913</v>
      </c>
      <c r="B34" t="s">
        <v>41</v>
      </c>
      <c r="C34" t="s">
        <v>40</v>
      </c>
      <c r="D34" s="5">
        <v>40000</v>
      </c>
      <c r="E34">
        <v>1</v>
      </c>
      <c r="F34" t="s">
        <v>42</v>
      </c>
      <c r="G34" t="s">
        <v>28</v>
      </c>
      <c r="H34" t="s">
        <v>20</v>
      </c>
      <c r="I34">
        <v>1</v>
      </c>
      <c r="J34" t="s">
        <v>29</v>
      </c>
      <c r="K34" t="s">
        <v>35</v>
      </c>
      <c r="L34">
        <v>60</v>
      </c>
      <c r="M34" t="str">
        <f t="shared" si="0"/>
        <v>Old</v>
      </c>
      <c r="N34" t="s">
        <v>20</v>
      </c>
    </row>
    <row r="35" spans="1:14">
      <c r="A35">
        <v>29155</v>
      </c>
      <c r="B35" t="s">
        <v>41</v>
      </c>
      <c r="C35" t="s">
        <v>39</v>
      </c>
      <c r="D35" s="5">
        <v>20000</v>
      </c>
      <c r="E35">
        <v>4</v>
      </c>
      <c r="F35" t="s">
        <v>30</v>
      </c>
      <c r="G35" t="s">
        <v>22</v>
      </c>
      <c r="H35" t="s">
        <v>20</v>
      </c>
      <c r="I35">
        <v>0</v>
      </c>
      <c r="J35" t="s">
        <v>18</v>
      </c>
      <c r="K35" t="s">
        <v>19</v>
      </c>
      <c r="L35">
        <v>34</v>
      </c>
      <c r="M35" t="str">
        <f t="shared" si="0"/>
        <v>Adults</v>
      </c>
      <c r="N35" t="s">
        <v>17</v>
      </c>
    </row>
    <row r="36" spans="1:14">
      <c r="A36">
        <v>23833</v>
      </c>
      <c r="B36" t="s">
        <v>38</v>
      </c>
      <c r="C36" t="s">
        <v>39</v>
      </c>
      <c r="D36" s="5">
        <v>150000</v>
      </c>
      <c r="E36">
        <v>4</v>
      </c>
      <c r="F36" t="s">
        <v>42</v>
      </c>
      <c r="G36" t="s">
        <v>31</v>
      </c>
      <c r="H36" t="s">
        <v>20</v>
      </c>
      <c r="I36">
        <v>4</v>
      </c>
      <c r="J36" t="s">
        <v>18</v>
      </c>
      <c r="K36" t="s">
        <v>35</v>
      </c>
      <c r="L36">
        <v>32</v>
      </c>
      <c r="M36" t="str">
        <f t="shared" si="0"/>
        <v>Adults</v>
      </c>
      <c r="N36" t="s">
        <v>20</v>
      </c>
    </row>
    <row r="37" spans="1:14">
      <c r="A37">
        <v>21146</v>
      </c>
      <c r="B37" t="s">
        <v>38</v>
      </c>
      <c r="C37" t="s">
        <v>39</v>
      </c>
      <c r="D37" s="5">
        <v>40000</v>
      </c>
      <c r="E37">
        <v>0</v>
      </c>
      <c r="F37" t="s">
        <v>42</v>
      </c>
      <c r="G37" t="s">
        <v>22</v>
      </c>
      <c r="H37" t="s">
        <v>20</v>
      </c>
      <c r="I37">
        <v>4</v>
      </c>
      <c r="J37" t="s">
        <v>29</v>
      </c>
      <c r="K37" t="s">
        <v>35</v>
      </c>
      <c r="L37">
        <v>31</v>
      </c>
      <c r="M37" t="str">
        <f t="shared" si="0"/>
        <v>Adults</v>
      </c>
      <c r="N37" t="s">
        <v>20</v>
      </c>
    </row>
    <row r="38" spans="1:14">
      <c r="A38">
        <v>26635</v>
      </c>
      <c r="B38" t="s">
        <v>38</v>
      </c>
      <c r="C38" t="s">
        <v>40</v>
      </c>
      <c r="D38" s="5">
        <v>10000</v>
      </c>
      <c r="E38">
        <v>4</v>
      </c>
      <c r="F38" t="s">
        <v>30</v>
      </c>
      <c r="G38" t="s">
        <v>22</v>
      </c>
      <c r="H38" t="s">
        <v>20</v>
      </c>
      <c r="I38">
        <v>3</v>
      </c>
      <c r="J38" t="s">
        <v>18</v>
      </c>
      <c r="K38" t="s">
        <v>19</v>
      </c>
      <c r="L38">
        <v>48</v>
      </c>
      <c r="M38" t="str">
        <f t="shared" si="0"/>
        <v>Adults</v>
      </c>
      <c r="N38" t="s">
        <v>20</v>
      </c>
    </row>
    <row r="39" spans="1:14">
      <c r="A39">
        <v>17846</v>
      </c>
      <c r="B39" t="s">
        <v>38</v>
      </c>
      <c r="C39" t="s">
        <v>40</v>
      </c>
      <c r="D39" s="5">
        <v>40000</v>
      </c>
      <c r="E39">
        <v>5</v>
      </c>
      <c r="F39" t="s">
        <v>34</v>
      </c>
      <c r="G39" t="s">
        <v>16</v>
      </c>
      <c r="H39" t="s">
        <v>20</v>
      </c>
      <c r="I39">
        <v>0</v>
      </c>
      <c r="J39" t="s">
        <v>43</v>
      </c>
      <c r="K39" t="s">
        <v>19</v>
      </c>
      <c r="L39">
        <v>33</v>
      </c>
      <c r="M39" t="str">
        <f t="shared" si="0"/>
        <v>Adults</v>
      </c>
      <c r="N39" t="s">
        <v>20</v>
      </c>
    </row>
    <row r="40" spans="1:14">
      <c r="A40">
        <v>28015</v>
      </c>
      <c r="B40" t="s">
        <v>38</v>
      </c>
      <c r="C40" t="s">
        <v>39</v>
      </c>
      <c r="D40" s="5">
        <v>140000</v>
      </c>
      <c r="E40">
        <v>1</v>
      </c>
      <c r="F40" t="s">
        <v>34</v>
      </c>
      <c r="G40" t="s">
        <v>31</v>
      </c>
      <c r="H40" t="s">
        <v>17</v>
      </c>
      <c r="I40">
        <v>2</v>
      </c>
      <c r="J40" t="s">
        <v>26</v>
      </c>
      <c r="K40" t="s">
        <v>35</v>
      </c>
      <c r="L40">
        <v>48</v>
      </c>
      <c r="M40" t="str">
        <f t="shared" si="0"/>
        <v>Adults</v>
      </c>
      <c r="N40" t="s">
        <v>20</v>
      </c>
    </row>
    <row r="41" spans="1:14">
      <c r="A41">
        <v>26959</v>
      </c>
      <c r="B41" t="s">
        <v>41</v>
      </c>
      <c r="C41" t="s">
        <v>40</v>
      </c>
      <c r="D41" s="5">
        <v>10000</v>
      </c>
      <c r="E41">
        <v>2</v>
      </c>
      <c r="F41" t="s">
        <v>21</v>
      </c>
      <c r="G41" t="s">
        <v>22</v>
      </c>
      <c r="H41" t="s">
        <v>17</v>
      </c>
      <c r="I41">
        <v>4</v>
      </c>
      <c r="J41" t="s">
        <v>43</v>
      </c>
      <c r="K41" t="s">
        <v>19</v>
      </c>
      <c r="L41">
        <v>62</v>
      </c>
      <c r="M41" t="str">
        <f t="shared" si="0"/>
        <v>Old</v>
      </c>
      <c r="N41" t="s">
        <v>17</v>
      </c>
    </row>
    <row r="42" spans="1:14">
      <c r="A42">
        <v>10235</v>
      </c>
      <c r="B42" t="s">
        <v>38</v>
      </c>
      <c r="C42" t="s">
        <v>40</v>
      </c>
      <c r="D42" s="5">
        <v>40000</v>
      </c>
      <c r="E42">
        <v>2</v>
      </c>
      <c r="F42" t="s">
        <v>21</v>
      </c>
      <c r="G42" t="s">
        <v>16</v>
      </c>
      <c r="H42" t="s">
        <v>17</v>
      </c>
      <c r="I42">
        <v>4</v>
      </c>
      <c r="J42" t="s">
        <v>29</v>
      </c>
      <c r="K42" t="s">
        <v>27</v>
      </c>
      <c r="L42">
        <v>56</v>
      </c>
      <c r="M42" t="str">
        <f t="shared" si="0"/>
        <v>Old</v>
      </c>
      <c r="N42" t="s">
        <v>17</v>
      </c>
    </row>
    <row r="43" spans="1:14">
      <c r="A43">
        <v>27669</v>
      </c>
      <c r="B43" t="s">
        <v>38</v>
      </c>
      <c r="C43" t="s">
        <v>39</v>
      </c>
      <c r="D43" s="5">
        <v>40000</v>
      </c>
      <c r="E43">
        <v>1</v>
      </c>
      <c r="F43" t="s">
        <v>21</v>
      </c>
      <c r="G43" t="s">
        <v>28</v>
      </c>
      <c r="H43" t="s">
        <v>17</v>
      </c>
      <c r="I43">
        <v>0</v>
      </c>
      <c r="J43" t="s">
        <v>26</v>
      </c>
      <c r="K43" t="s">
        <v>27</v>
      </c>
      <c r="L43">
        <v>52</v>
      </c>
      <c r="M43" t="str">
        <f t="shared" si="0"/>
        <v>Adults</v>
      </c>
      <c r="N43" t="s">
        <v>20</v>
      </c>
    </row>
    <row r="44" spans="1:14">
      <c r="A44">
        <v>25303</v>
      </c>
      <c r="B44" t="s">
        <v>38</v>
      </c>
      <c r="C44" t="s">
        <v>40</v>
      </c>
      <c r="D44" s="5">
        <v>30000</v>
      </c>
      <c r="E44">
        <v>0</v>
      </c>
      <c r="F44" t="s">
        <v>15</v>
      </c>
      <c r="G44" t="s">
        <v>28</v>
      </c>
      <c r="H44" t="s">
        <v>17</v>
      </c>
      <c r="I44">
        <v>1</v>
      </c>
      <c r="J44" t="s">
        <v>29</v>
      </c>
      <c r="K44" t="s">
        <v>35</v>
      </c>
      <c r="L44">
        <v>53</v>
      </c>
      <c r="M44" t="str">
        <f t="shared" si="0"/>
        <v>Adults</v>
      </c>
      <c r="N44" t="s">
        <v>17</v>
      </c>
    </row>
    <row r="45" spans="1:14">
      <c r="A45">
        <v>23824</v>
      </c>
      <c r="B45" t="s">
        <v>38</v>
      </c>
      <c r="C45" t="s">
        <v>39</v>
      </c>
      <c r="D45" s="5">
        <v>10000</v>
      </c>
      <c r="E45">
        <v>3</v>
      </c>
      <c r="F45" t="s">
        <v>42</v>
      </c>
      <c r="G45" t="s">
        <v>22</v>
      </c>
      <c r="H45" t="s">
        <v>17</v>
      </c>
      <c r="I45">
        <v>0</v>
      </c>
      <c r="J45" t="s">
        <v>43</v>
      </c>
      <c r="K45" t="s">
        <v>19</v>
      </c>
      <c r="L45">
        <v>30</v>
      </c>
      <c r="M45" t="str">
        <f t="shared" si="0"/>
        <v>Adults</v>
      </c>
      <c r="N45" t="s">
        <v>17</v>
      </c>
    </row>
    <row r="46" spans="1:14">
      <c r="A46">
        <v>15449</v>
      </c>
      <c r="B46" t="s">
        <v>41</v>
      </c>
      <c r="C46" t="s">
        <v>39</v>
      </c>
      <c r="D46" s="5">
        <v>40000</v>
      </c>
      <c r="E46">
        <v>0</v>
      </c>
      <c r="F46" t="s">
        <v>42</v>
      </c>
      <c r="G46" t="s">
        <v>22</v>
      </c>
      <c r="H46" t="s">
        <v>17</v>
      </c>
      <c r="I46">
        <v>3</v>
      </c>
      <c r="J46" t="s">
        <v>18</v>
      </c>
      <c r="K46" t="s">
        <v>27</v>
      </c>
      <c r="L46">
        <v>41</v>
      </c>
      <c r="M46" t="str">
        <f t="shared" si="0"/>
        <v>Adults</v>
      </c>
      <c r="N46" t="s">
        <v>20</v>
      </c>
    </row>
    <row r="47" spans="1:14">
      <c r="A47">
        <v>19347</v>
      </c>
      <c r="B47" t="s">
        <v>41</v>
      </c>
      <c r="C47" t="s">
        <v>39</v>
      </c>
      <c r="D47" s="5">
        <v>30000</v>
      </c>
      <c r="E47">
        <v>1</v>
      </c>
      <c r="F47" t="s">
        <v>21</v>
      </c>
      <c r="G47" t="s">
        <v>22</v>
      </c>
      <c r="H47" t="s">
        <v>17</v>
      </c>
      <c r="I47">
        <v>4</v>
      </c>
      <c r="J47" t="s">
        <v>43</v>
      </c>
      <c r="K47" t="s">
        <v>19</v>
      </c>
      <c r="L47">
        <v>45</v>
      </c>
      <c r="M47" t="str">
        <f t="shared" si="0"/>
        <v>Adults</v>
      </c>
      <c r="N47" t="s">
        <v>17</v>
      </c>
    </row>
    <row r="48" spans="1:14">
      <c r="A48">
        <v>11643</v>
      </c>
      <c r="B48" t="s">
        <v>41</v>
      </c>
      <c r="C48" t="s">
        <v>40</v>
      </c>
      <c r="D48" s="5">
        <v>90000</v>
      </c>
      <c r="E48">
        <v>1</v>
      </c>
      <c r="F48" t="s">
        <v>15</v>
      </c>
      <c r="G48" t="s">
        <v>31</v>
      </c>
      <c r="H48" t="s">
        <v>17</v>
      </c>
      <c r="I48">
        <v>4</v>
      </c>
      <c r="J48" t="s">
        <v>18</v>
      </c>
      <c r="K48" t="s">
        <v>35</v>
      </c>
      <c r="L48">
        <v>40</v>
      </c>
      <c r="M48" t="str">
        <f t="shared" si="0"/>
        <v>Adults</v>
      </c>
      <c r="N48" t="s">
        <v>20</v>
      </c>
    </row>
    <row r="49" spans="1:14">
      <c r="A49">
        <v>13928</v>
      </c>
      <c r="B49" t="s">
        <v>38</v>
      </c>
      <c r="C49" t="s">
        <v>40</v>
      </c>
      <c r="D49" s="5">
        <v>70000</v>
      </c>
      <c r="E49">
        <v>5</v>
      </c>
      <c r="F49" t="s">
        <v>34</v>
      </c>
      <c r="G49" t="s">
        <v>16</v>
      </c>
      <c r="H49" t="s">
        <v>20</v>
      </c>
      <c r="I49">
        <v>2</v>
      </c>
      <c r="J49" t="s">
        <v>29</v>
      </c>
      <c r="K49" t="s">
        <v>35</v>
      </c>
      <c r="L49">
        <v>45</v>
      </c>
      <c r="M49" t="str">
        <f t="shared" si="0"/>
        <v>Adults</v>
      </c>
      <c r="N49" t="s">
        <v>17</v>
      </c>
    </row>
    <row r="50" spans="1:14">
      <c r="A50">
        <v>18703</v>
      </c>
      <c r="B50" t="s">
        <v>41</v>
      </c>
      <c r="C50" t="s">
        <v>40</v>
      </c>
      <c r="D50" s="5">
        <v>30000</v>
      </c>
      <c r="E50">
        <v>0</v>
      </c>
      <c r="F50" t="s">
        <v>30</v>
      </c>
      <c r="G50" t="s">
        <v>28</v>
      </c>
      <c r="H50" t="s">
        <v>17</v>
      </c>
      <c r="I50">
        <v>3</v>
      </c>
      <c r="J50" t="s">
        <v>43</v>
      </c>
      <c r="K50" t="s">
        <v>35</v>
      </c>
      <c r="L50">
        <v>31</v>
      </c>
      <c r="M50" t="str">
        <f t="shared" si="0"/>
        <v>Adults</v>
      </c>
      <c r="N50" t="s">
        <v>17</v>
      </c>
    </row>
    <row r="51" spans="1:14">
      <c r="A51">
        <v>27617</v>
      </c>
      <c r="B51" t="s">
        <v>38</v>
      </c>
      <c r="C51" t="s">
        <v>39</v>
      </c>
      <c r="D51" s="5">
        <v>60000</v>
      </c>
      <c r="E51">
        <v>1</v>
      </c>
      <c r="F51" t="s">
        <v>21</v>
      </c>
      <c r="G51" t="s">
        <v>23</v>
      </c>
      <c r="H51" t="s">
        <v>20</v>
      </c>
      <c r="I51">
        <v>2</v>
      </c>
      <c r="J51" t="s">
        <v>29</v>
      </c>
      <c r="K51" t="s">
        <v>27</v>
      </c>
      <c r="L51">
        <v>59</v>
      </c>
      <c r="M51" t="str">
        <f t="shared" si="0"/>
        <v>Old</v>
      </c>
      <c r="N51" t="s">
        <v>20</v>
      </c>
    </row>
    <row r="52" spans="1:14">
      <c r="A52">
        <v>27332</v>
      </c>
      <c r="B52" t="s">
        <v>38</v>
      </c>
      <c r="C52" t="s">
        <v>39</v>
      </c>
      <c r="D52" s="5">
        <v>30000</v>
      </c>
      <c r="E52">
        <v>0</v>
      </c>
      <c r="F52" t="s">
        <v>15</v>
      </c>
      <c r="G52" t="s">
        <v>22</v>
      </c>
      <c r="H52" t="s">
        <v>17</v>
      </c>
      <c r="I52">
        <v>4</v>
      </c>
      <c r="J52" t="s">
        <v>29</v>
      </c>
      <c r="K52" t="s">
        <v>27</v>
      </c>
      <c r="L52">
        <v>43</v>
      </c>
      <c r="M52" t="str">
        <f t="shared" si="0"/>
        <v>Adults</v>
      </c>
      <c r="N52" t="s">
        <v>17</v>
      </c>
    </row>
    <row r="53" spans="1:14">
      <c r="A53">
        <v>21235</v>
      </c>
      <c r="B53" t="s">
        <v>38</v>
      </c>
      <c r="C53" t="s">
        <v>39</v>
      </c>
      <c r="D53" s="5">
        <v>30000</v>
      </c>
      <c r="E53">
        <v>0</v>
      </c>
      <c r="F53" t="s">
        <v>34</v>
      </c>
      <c r="G53" t="s">
        <v>28</v>
      </c>
      <c r="H53" t="s">
        <v>17</v>
      </c>
      <c r="I53">
        <v>3</v>
      </c>
      <c r="J53" t="s">
        <v>24</v>
      </c>
      <c r="K53" t="s">
        <v>19</v>
      </c>
      <c r="L53">
        <v>25</v>
      </c>
      <c r="M53" t="str">
        <f t="shared" si="0"/>
        <v>Young</v>
      </c>
      <c r="N53" t="s">
        <v>20</v>
      </c>
    </row>
    <row r="54" spans="1:14">
      <c r="A54">
        <v>14286</v>
      </c>
      <c r="B54" t="s">
        <v>41</v>
      </c>
      <c r="C54" t="s">
        <v>40</v>
      </c>
      <c r="D54" s="5">
        <v>140000</v>
      </c>
      <c r="E54">
        <v>4</v>
      </c>
      <c r="F54" t="s">
        <v>42</v>
      </c>
      <c r="G54" t="s">
        <v>31</v>
      </c>
      <c r="H54" t="s">
        <v>17</v>
      </c>
      <c r="I54">
        <v>0</v>
      </c>
      <c r="J54" t="s">
        <v>18</v>
      </c>
      <c r="K54" t="s">
        <v>35</v>
      </c>
      <c r="L54">
        <v>34</v>
      </c>
      <c r="M54" t="str">
        <f t="shared" si="0"/>
        <v>Adults</v>
      </c>
      <c r="N54" t="s">
        <v>17</v>
      </c>
    </row>
    <row r="55" spans="1:14">
      <c r="A55">
        <v>22098</v>
      </c>
      <c r="B55" t="s">
        <v>38</v>
      </c>
      <c r="C55" t="s">
        <v>39</v>
      </c>
      <c r="D55" s="5">
        <v>60000</v>
      </c>
      <c r="E55">
        <v>2</v>
      </c>
      <c r="F55" t="s">
        <v>21</v>
      </c>
      <c r="G55" t="s">
        <v>16</v>
      </c>
      <c r="H55" t="s">
        <v>17</v>
      </c>
      <c r="I55">
        <v>2</v>
      </c>
      <c r="J55" t="s">
        <v>29</v>
      </c>
      <c r="K55" t="s">
        <v>35</v>
      </c>
      <c r="L55">
        <v>40</v>
      </c>
      <c r="M55" t="str">
        <f t="shared" si="0"/>
        <v>Adults</v>
      </c>
      <c r="N55" t="s">
        <v>17</v>
      </c>
    </row>
    <row r="56" spans="1:14">
      <c r="A56">
        <v>21589</v>
      </c>
      <c r="B56" t="s">
        <v>41</v>
      </c>
      <c r="C56" t="s">
        <v>40</v>
      </c>
      <c r="D56" s="5">
        <v>20000</v>
      </c>
      <c r="E56">
        <v>3</v>
      </c>
      <c r="F56" t="s">
        <v>21</v>
      </c>
      <c r="G56" t="s">
        <v>22</v>
      </c>
      <c r="H56" t="s">
        <v>17</v>
      </c>
      <c r="I56">
        <v>1</v>
      </c>
      <c r="J56" t="s">
        <v>24</v>
      </c>
      <c r="K56" t="s">
        <v>27</v>
      </c>
      <c r="L56">
        <v>40</v>
      </c>
      <c r="M56" t="str">
        <f t="shared" si="0"/>
        <v>Adults</v>
      </c>
      <c r="N56" t="s">
        <v>20</v>
      </c>
    </row>
    <row r="57" spans="1:14">
      <c r="A57">
        <v>15216</v>
      </c>
      <c r="B57" t="s">
        <v>38</v>
      </c>
      <c r="C57" t="s">
        <v>39</v>
      </c>
      <c r="D57" s="5">
        <v>20000</v>
      </c>
      <c r="E57">
        <v>1</v>
      </c>
      <c r="F57" t="s">
        <v>15</v>
      </c>
      <c r="G57" t="s">
        <v>28</v>
      </c>
      <c r="H57" t="s">
        <v>20</v>
      </c>
      <c r="I57">
        <v>2</v>
      </c>
      <c r="J57" t="s">
        <v>24</v>
      </c>
      <c r="K57" t="s">
        <v>19</v>
      </c>
      <c r="L57">
        <v>39</v>
      </c>
      <c r="M57" t="str">
        <f t="shared" si="0"/>
        <v>Adults</v>
      </c>
      <c r="N57" t="s">
        <v>17</v>
      </c>
    </row>
    <row r="58" spans="1:14">
      <c r="A58">
        <v>16328</v>
      </c>
      <c r="B58" t="s">
        <v>41</v>
      </c>
      <c r="C58" t="s">
        <v>39</v>
      </c>
      <c r="D58" s="5">
        <v>60000</v>
      </c>
      <c r="E58">
        <v>2</v>
      </c>
      <c r="F58" t="s">
        <v>30</v>
      </c>
      <c r="G58" t="s">
        <v>16</v>
      </c>
      <c r="H58" t="s">
        <v>20</v>
      </c>
      <c r="I58">
        <v>4</v>
      </c>
      <c r="J58" t="s">
        <v>24</v>
      </c>
      <c r="K58" t="s">
        <v>19</v>
      </c>
      <c r="L58">
        <v>32</v>
      </c>
      <c r="M58" t="str">
        <f t="shared" si="0"/>
        <v>Adults</v>
      </c>
      <c r="N58" t="s">
        <v>20</v>
      </c>
    </row>
    <row r="59" spans="1:14">
      <c r="A59">
        <v>15851</v>
      </c>
      <c r="B59" t="s">
        <v>41</v>
      </c>
      <c r="C59" t="s">
        <v>40</v>
      </c>
      <c r="D59" s="5">
        <v>140000</v>
      </c>
      <c r="E59">
        <v>2</v>
      </c>
      <c r="F59" t="s">
        <v>15</v>
      </c>
      <c r="G59" t="s">
        <v>31</v>
      </c>
      <c r="H59" t="s">
        <v>20</v>
      </c>
      <c r="I59">
        <v>3</v>
      </c>
      <c r="J59" t="s">
        <v>43</v>
      </c>
      <c r="K59" t="s">
        <v>35</v>
      </c>
      <c r="L59">
        <v>32</v>
      </c>
      <c r="M59" t="str">
        <f t="shared" si="0"/>
        <v>Adults</v>
      </c>
      <c r="N59" t="s">
        <v>20</v>
      </c>
    </row>
    <row r="60" spans="1:14">
      <c r="A60">
        <v>28893</v>
      </c>
      <c r="B60" t="s">
        <v>38</v>
      </c>
      <c r="C60" t="s">
        <v>39</v>
      </c>
      <c r="D60" s="5">
        <v>10000</v>
      </c>
      <c r="E60">
        <v>4</v>
      </c>
      <c r="F60" t="s">
        <v>15</v>
      </c>
      <c r="G60" t="s">
        <v>28</v>
      </c>
      <c r="H60" t="s">
        <v>17</v>
      </c>
      <c r="I60">
        <v>2</v>
      </c>
      <c r="J60" t="s">
        <v>26</v>
      </c>
      <c r="K60" t="s">
        <v>19</v>
      </c>
      <c r="L60">
        <v>46</v>
      </c>
      <c r="M60" t="str">
        <f t="shared" si="0"/>
        <v>Adults</v>
      </c>
      <c r="N60" t="s">
        <v>20</v>
      </c>
    </row>
    <row r="61" spans="1:14">
      <c r="A61">
        <v>14083</v>
      </c>
      <c r="B61" t="s">
        <v>41</v>
      </c>
      <c r="C61" t="s">
        <v>39</v>
      </c>
      <c r="D61" s="5">
        <v>90000</v>
      </c>
      <c r="E61">
        <v>5</v>
      </c>
      <c r="F61" t="s">
        <v>42</v>
      </c>
      <c r="G61" t="s">
        <v>23</v>
      </c>
      <c r="H61" t="s">
        <v>20</v>
      </c>
      <c r="I61">
        <v>4</v>
      </c>
      <c r="J61" t="s">
        <v>29</v>
      </c>
      <c r="K61" t="s">
        <v>19</v>
      </c>
      <c r="L61">
        <v>51</v>
      </c>
      <c r="M61" t="str">
        <f t="shared" si="0"/>
        <v>Adults</v>
      </c>
      <c r="N61" t="s">
        <v>20</v>
      </c>
    </row>
    <row r="62" spans="1:14">
      <c r="A62">
        <v>15702</v>
      </c>
      <c r="B62" t="s">
        <v>41</v>
      </c>
      <c r="C62" t="s">
        <v>39</v>
      </c>
      <c r="D62" s="5">
        <v>60000</v>
      </c>
      <c r="E62">
        <v>2</v>
      </c>
      <c r="F62" t="s">
        <v>34</v>
      </c>
      <c r="G62" t="s">
        <v>16</v>
      </c>
      <c r="H62" t="s">
        <v>17</v>
      </c>
      <c r="I62">
        <v>3</v>
      </c>
      <c r="J62" t="s">
        <v>43</v>
      </c>
      <c r="K62" t="s">
        <v>35</v>
      </c>
      <c r="L62">
        <v>45</v>
      </c>
      <c r="M62" t="str">
        <f t="shared" si="0"/>
        <v>Adults</v>
      </c>
      <c r="N62" t="s">
        <v>20</v>
      </c>
    </row>
    <row r="63" spans="1:14">
      <c r="A63">
        <v>24476</v>
      </c>
      <c r="B63" t="s">
        <v>41</v>
      </c>
      <c r="C63" t="s">
        <v>40</v>
      </c>
      <c r="D63" s="5">
        <v>20000</v>
      </c>
      <c r="E63">
        <v>5</v>
      </c>
      <c r="F63" t="s">
        <v>34</v>
      </c>
      <c r="G63" t="s">
        <v>28</v>
      </c>
      <c r="H63" t="s">
        <v>17</v>
      </c>
      <c r="I63">
        <v>2</v>
      </c>
      <c r="J63" t="s">
        <v>43</v>
      </c>
      <c r="K63" t="s">
        <v>35</v>
      </c>
      <c r="L63">
        <v>65</v>
      </c>
      <c r="M63" t="str">
        <f t="shared" si="0"/>
        <v>Old</v>
      </c>
      <c r="N63" t="s">
        <v>20</v>
      </c>
    </row>
    <row r="64" spans="1:14">
      <c r="A64">
        <v>13060</v>
      </c>
      <c r="B64" t="s">
        <v>38</v>
      </c>
      <c r="C64" t="s">
        <v>39</v>
      </c>
      <c r="D64" s="5">
        <v>20000</v>
      </c>
      <c r="E64">
        <v>0</v>
      </c>
      <c r="F64" t="s">
        <v>21</v>
      </c>
      <c r="G64" t="s">
        <v>22</v>
      </c>
      <c r="H64" t="s">
        <v>17</v>
      </c>
      <c r="I64">
        <v>1</v>
      </c>
      <c r="J64" t="s">
        <v>26</v>
      </c>
      <c r="K64" t="s">
        <v>35</v>
      </c>
      <c r="L64">
        <v>29</v>
      </c>
      <c r="M64" t="str">
        <f t="shared" si="0"/>
        <v>Young</v>
      </c>
      <c r="N64" t="s">
        <v>20</v>
      </c>
    </row>
    <row r="65" spans="1:14">
      <c r="A65">
        <v>23580</v>
      </c>
      <c r="B65" t="s">
        <v>38</v>
      </c>
      <c r="C65" t="s">
        <v>39</v>
      </c>
      <c r="D65" s="5">
        <v>20000</v>
      </c>
      <c r="E65">
        <v>1</v>
      </c>
      <c r="F65" t="s">
        <v>42</v>
      </c>
      <c r="G65" t="s">
        <v>28</v>
      </c>
      <c r="H65" t="s">
        <v>17</v>
      </c>
      <c r="I65">
        <v>0</v>
      </c>
      <c r="J65" t="s">
        <v>26</v>
      </c>
      <c r="K65" t="s">
        <v>19</v>
      </c>
      <c r="L65">
        <v>36</v>
      </c>
      <c r="M65" t="str">
        <f t="shared" si="0"/>
        <v>Adults</v>
      </c>
      <c r="N65" t="s">
        <v>20</v>
      </c>
    </row>
    <row r="66" spans="1:14">
      <c r="A66">
        <v>11645</v>
      </c>
      <c r="B66" t="s">
        <v>38</v>
      </c>
      <c r="C66" t="s">
        <v>40</v>
      </c>
      <c r="D66" s="5">
        <v>40000</v>
      </c>
      <c r="E66">
        <v>5</v>
      </c>
      <c r="F66" t="s">
        <v>42</v>
      </c>
      <c r="G66" t="s">
        <v>22</v>
      </c>
      <c r="H66" t="s">
        <v>20</v>
      </c>
      <c r="I66">
        <v>3</v>
      </c>
      <c r="J66" t="s">
        <v>43</v>
      </c>
      <c r="K66" t="s">
        <v>35</v>
      </c>
      <c r="L66">
        <v>57</v>
      </c>
      <c r="M66" t="str">
        <f t="shared" si="0"/>
        <v>Old</v>
      </c>
      <c r="N66" t="s">
        <v>20</v>
      </c>
    </row>
    <row r="67" spans="1:14">
      <c r="A67">
        <v>27952</v>
      </c>
      <c r="B67" t="s">
        <v>41</v>
      </c>
      <c r="C67" t="s">
        <v>40</v>
      </c>
      <c r="D67" s="5">
        <v>30000</v>
      </c>
      <c r="E67">
        <v>1</v>
      </c>
      <c r="F67" t="s">
        <v>42</v>
      </c>
      <c r="G67" t="s">
        <v>28</v>
      </c>
      <c r="H67" t="s">
        <v>20</v>
      </c>
      <c r="I67">
        <v>4</v>
      </c>
      <c r="J67" t="s">
        <v>26</v>
      </c>
      <c r="K67" t="s">
        <v>35</v>
      </c>
      <c r="L67">
        <v>40</v>
      </c>
      <c r="M67" t="str">
        <f t="shared" ref="M67:M130" si="1">IF(L67&gt;55,"Old",IF(L67&lt;30,"Young","Adults"))</f>
        <v>Adults</v>
      </c>
      <c r="N67" t="s">
        <v>20</v>
      </c>
    </row>
    <row r="68" spans="1:14">
      <c r="A68">
        <v>24413</v>
      </c>
      <c r="B68" t="s">
        <v>38</v>
      </c>
      <c r="C68" t="s">
        <v>39</v>
      </c>
      <c r="D68" s="5">
        <v>80000</v>
      </c>
      <c r="E68">
        <v>2</v>
      </c>
      <c r="F68" t="s">
        <v>21</v>
      </c>
      <c r="G68" t="s">
        <v>23</v>
      </c>
      <c r="H68" t="s">
        <v>17</v>
      </c>
      <c r="I68">
        <v>1</v>
      </c>
      <c r="J68" t="s">
        <v>29</v>
      </c>
      <c r="K68" t="s">
        <v>19</v>
      </c>
      <c r="L68">
        <v>49</v>
      </c>
      <c r="M68" t="str">
        <f t="shared" si="1"/>
        <v>Adults</v>
      </c>
      <c r="N68" t="s">
        <v>17</v>
      </c>
    </row>
    <row r="69" spans="1:14">
      <c r="A69">
        <v>17010</v>
      </c>
      <c r="B69" t="s">
        <v>38</v>
      </c>
      <c r="C69" t="s">
        <v>39</v>
      </c>
      <c r="D69" s="5">
        <v>100000</v>
      </c>
      <c r="E69">
        <v>3</v>
      </c>
      <c r="F69" t="s">
        <v>42</v>
      </c>
      <c r="G69" t="s">
        <v>23</v>
      </c>
      <c r="H69" t="s">
        <v>20</v>
      </c>
      <c r="I69">
        <v>0</v>
      </c>
      <c r="J69" t="s">
        <v>29</v>
      </c>
      <c r="K69" t="s">
        <v>27</v>
      </c>
      <c r="L69">
        <v>49</v>
      </c>
      <c r="M69" t="str">
        <f t="shared" si="1"/>
        <v>Adults</v>
      </c>
      <c r="N69" t="s">
        <v>17</v>
      </c>
    </row>
    <row r="70" spans="1:14">
      <c r="A70">
        <v>28864</v>
      </c>
      <c r="B70" t="s">
        <v>41</v>
      </c>
      <c r="C70" t="s">
        <v>39</v>
      </c>
      <c r="D70" s="5">
        <v>80000</v>
      </c>
      <c r="E70">
        <v>3</v>
      </c>
      <c r="F70" t="s">
        <v>15</v>
      </c>
      <c r="G70" t="s">
        <v>23</v>
      </c>
      <c r="H70" t="s">
        <v>20</v>
      </c>
      <c r="I70">
        <v>4</v>
      </c>
      <c r="J70" t="s">
        <v>43</v>
      </c>
      <c r="K70" t="s">
        <v>35</v>
      </c>
      <c r="L70">
        <v>39</v>
      </c>
      <c r="M70" t="str">
        <f t="shared" si="1"/>
        <v>Adults</v>
      </c>
      <c r="N70" t="s">
        <v>20</v>
      </c>
    </row>
    <row r="71" spans="1:14">
      <c r="A71">
        <v>17190</v>
      </c>
      <c r="B71" t="s">
        <v>41</v>
      </c>
      <c r="C71" t="s">
        <v>39</v>
      </c>
      <c r="D71" s="5">
        <v>70000</v>
      </c>
      <c r="E71">
        <v>2</v>
      </c>
      <c r="F71" t="s">
        <v>42</v>
      </c>
      <c r="G71" t="s">
        <v>16</v>
      </c>
      <c r="H71" t="s">
        <v>20</v>
      </c>
      <c r="I71">
        <v>1</v>
      </c>
      <c r="J71" t="s">
        <v>26</v>
      </c>
      <c r="K71" t="s">
        <v>19</v>
      </c>
      <c r="L71">
        <v>64</v>
      </c>
      <c r="M71" t="str">
        <f t="shared" si="1"/>
        <v>Old</v>
      </c>
      <c r="N71" t="s">
        <v>17</v>
      </c>
    </row>
    <row r="72" spans="1:14">
      <c r="A72">
        <v>22911</v>
      </c>
      <c r="B72" t="s">
        <v>38</v>
      </c>
      <c r="C72" t="s">
        <v>40</v>
      </c>
      <c r="D72" s="5">
        <v>40000</v>
      </c>
      <c r="E72">
        <v>1</v>
      </c>
      <c r="F72" t="s">
        <v>42</v>
      </c>
      <c r="G72" t="s">
        <v>22</v>
      </c>
      <c r="H72" t="s">
        <v>17</v>
      </c>
      <c r="I72">
        <v>2</v>
      </c>
      <c r="J72" t="s">
        <v>26</v>
      </c>
      <c r="K72" t="s">
        <v>27</v>
      </c>
      <c r="L72">
        <v>38</v>
      </c>
      <c r="M72" t="str">
        <f t="shared" si="1"/>
        <v>Adults</v>
      </c>
      <c r="N72" t="s">
        <v>20</v>
      </c>
    </row>
    <row r="73" spans="1:14">
      <c r="A73">
        <v>20710</v>
      </c>
      <c r="B73" t="s">
        <v>41</v>
      </c>
      <c r="C73" t="s">
        <v>39</v>
      </c>
      <c r="D73" s="5">
        <v>30000</v>
      </c>
      <c r="E73">
        <v>0</v>
      </c>
      <c r="F73" t="s">
        <v>30</v>
      </c>
      <c r="G73" t="s">
        <v>28</v>
      </c>
      <c r="H73" t="s">
        <v>20</v>
      </c>
      <c r="I73">
        <v>0</v>
      </c>
      <c r="J73" t="s">
        <v>43</v>
      </c>
      <c r="K73" t="s">
        <v>19</v>
      </c>
      <c r="L73">
        <v>47</v>
      </c>
      <c r="M73" t="str">
        <f t="shared" si="1"/>
        <v>Adults</v>
      </c>
      <c r="N73" t="s">
        <v>17</v>
      </c>
    </row>
    <row r="74" spans="1:14">
      <c r="A74">
        <v>12248</v>
      </c>
      <c r="B74" t="s">
        <v>38</v>
      </c>
      <c r="C74" t="s">
        <v>40</v>
      </c>
      <c r="D74" s="5">
        <v>10000</v>
      </c>
      <c r="E74">
        <v>4</v>
      </c>
      <c r="F74" t="s">
        <v>21</v>
      </c>
      <c r="G74" t="s">
        <v>22</v>
      </c>
      <c r="H74" t="s">
        <v>17</v>
      </c>
      <c r="I74">
        <v>1</v>
      </c>
      <c r="J74" t="s">
        <v>29</v>
      </c>
      <c r="K74" t="s">
        <v>27</v>
      </c>
      <c r="L74">
        <v>32</v>
      </c>
      <c r="M74" t="str">
        <f t="shared" si="1"/>
        <v>Adults</v>
      </c>
      <c r="N74" t="s">
        <v>17</v>
      </c>
    </row>
    <row r="75" spans="1:14">
      <c r="A75">
        <v>25238</v>
      </c>
      <c r="B75" t="s">
        <v>41</v>
      </c>
      <c r="C75" t="s">
        <v>39</v>
      </c>
      <c r="D75" s="5">
        <v>170000</v>
      </c>
      <c r="E75">
        <v>5</v>
      </c>
      <c r="F75" t="s">
        <v>21</v>
      </c>
      <c r="G75" t="s">
        <v>31</v>
      </c>
      <c r="H75" t="s">
        <v>17</v>
      </c>
      <c r="I75">
        <v>1</v>
      </c>
      <c r="J75" t="s">
        <v>24</v>
      </c>
      <c r="K75" t="s">
        <v>19</v>
      </c>
      <c r="L75">
        <v>62</v>
      </c>
      <c r="M75" t="str">
        <f t="shared" si="1"/>
        <v>Old</v>
      </c>
      <c r="N75" t="s">
        <v>17</v>
      </c>
    </row>
    <row r="76" spans="1:14">
      <c r="A76">
        <v>20222</v>
      </c>
      <c r="B76" t="s">
        <v>41</v>
      </c>
      <c r="C76" t="s">
        <v>39</v>
      </c>
      <c r="D76" s="5">
        <v>80000</v>
      </c>
      <c r="E76">
        <v>5</v>
      </c>
      <c r="F76" t="s">
        <v>21</v>
      </c>
      <c r="G76" t="s">
        <v>16</v>
      </c>
      <c r="H76" t="s">
        <v>17</v>
      </c>
      <c r="I76">
        <v>0</v>
      </c>
      <c r="J76" t="s">
        <v>24</v>
      </c>
      <c r="K76" t="s">
        <v>35</v>
      </c>
      <c r="L76">
        <v>63</v>
      </c>
      <c r="M76" t="str">
        <f t="shared" si="1"/>
        <v>Old</v>
      </c>
      <c r="N76" t="s">
        <v>17</v>
      </c>
    </row>
    <row r="77" spans="1:14">
      <c r="A77">
        <v>28544</v>
      </c>
      <c r="B77" t="s">
        <v>38</v>
      </c>
      <c r="C77" t="s">
        <v>39</v>
      </c>
      <c r="D77" s="5">
        <v>30000</v>
      </c>
      <c r="E77">
        <v>0</v>
      </c>
      <c r="F77" t="s">
        <v>34</v>
      </c>
      <c r="G77" t="s">
        <v>28</v>
      </c>
      <c r="H77" t="s">
        <v>20</v>
      </c>
      <c r="I77">
        <v>0</v>
      </c>
      <c r="J77" t="s">
        <v>26</v>
      </c>
      <c r="K77" t="s">
        <v>27</v>
      </c>
      <c r="L77">
        <v>31</v>
      </c>
      <c r="M77" t="str">
        <f t="shared" si="1"/>
        <v>Adults</v>
      </c>
      <c r="N77" t="s">
        <v>20</v>
      </c>
    </row>
    <row r="78" spans="1:14">
      <c r="A78">
        <v>21868</v>
      </c>
      <c r="B78" t="s">
        <v>41</v>
      </c>
      <c r="C78" t="s">
        <v>40</v>
      </c>
      <c r="D78" s="5">
        <v>30000</v>
      </c>
      <c r="E78">
        <v>4</v>
      </c>
      <c r="F78" t="s">
        <v>42</v>
      </c>
      <c r="G78" t="s">
        <v>22</v>
      </c>
      <c r="H78" t="s">
        <v>20</v>
      </c>
      <c r="I78">
        <v>3</v>
      </c>
      <c r="J78" t="s">
        <v>26</v>
      </c>
      <c r="K78" t="s">
        <v>35</v>
      </c>
      <c r="L78">
        <v>62</v>
      </c>
      <c r="M78" t="str">
        <f t="shared" si="1"/>
        <v>Old</v>
      </c>
      <c r="N78" t="s">
        <v>20</v>
      </c>
    </row>
    <row r="79" spans="1:14">
      <c r="A79">
        <v>20561</v>
      </c>
      <c r="B79" t="s">
        <v>38</v>
      </c>
      <c r="C79" t="s">
        <v>40</v>
      </c>
      <c r="D79" s="5">
        <v>20000</v>
      </c>
      <c r="E79">
        <v>3</v>
      </c>
      <c r="F79" t="s">
        <v>30</v>
      </c>
      <c r="G79" t="s">
        <v>28</v>
      </c>
      <c r="H79" t="s">
        <v>20</v>
      </c>
      <c r="I79">
        <v>2</v>
      </c>
      <c r="J79" t="s">
        <v>18</v>
      </c>
      <c r="K79" t="s">
        <v>27</v>
      </c>
      <c r="L79">
        <v>45</v>
      </c>
      <c r="M79" t="str">
        <f t="shared" si="1"/>
        <v>Adults</v>
      </c>
      <c r="N79" t="s">
        <v>17</v>
      </c>
    </row>
    <row r="80" spans="1:14">
      <c r="A80">
        <v>25976</v>
      </c>
      <c r="B80" t="s">
        <v>38</v>
      </c>
      <c r="C80" t="s">
        <v>39</v>
      </c>
      <c r="D80" s="5">
        <v>80000</v>
      </c>
      <c r="E80">
        <v>4</v>
      </c>
      <c r="F80" t="s">
        <v>30</v>
      </c>
      <c r="G80" t="s">
        <v>23</v>
      </c>
      <c r="H80" t="s">
        <v>20</v>
      </c>
      <c r="I80">
        <v>4</v>
      </c>
      <c r="J80" t="s">
        <v>18</v>
      </c>
      <c r="K80" t="s">
        <v>35</v>
      </c>
      <c r="L80">
        <v>37</v>
      </c>
      <c r="M80" t="str">
        <f t="shared" si="1"/>
        <v>Adults</v>
      </c>
      <c r="N80" t="s">
        <v>17</v>
      </c>
    </row>
    <row r="81" spans="1:14">
      <c r="A81">
        <v>17908</v>
      </c>
      <c r="B81" t="s">
        <v>41</v>
      </c>
      <c r="C81" t="s">
        <v>39</v>
      </c>
      <c r="D81" s="5">
        <v>40000</v>
      </c>
      <c r="E81">
        <v>5</v>
      </c>
      <c r="F81" t="s">
        <v>34</v>
      </c>
      <c r="G81" t="s">
        <v>22</v>
      </c>
      <c r="H81" t="s">
        <v>20</v>
      </c>
      <c r="I81">
        <v>3</v>
      </c>
      <c r="J81" t="s">
        <v>18</v>
      </c>
      <c r="K81" t="s">
        <v>19</v>
      </c>
      <c r="L81">
        <v>43</v>
      </c>
      <c r="M81" t="str">
        <f t="shared" si="1"/>
        <v>Adults</v>
      </c>
      <c r="N81" t="s">
        <v>17</v>
      </c>
    </row>
    <row r="82" spans="1:14">
      <c r="A82">
        <v>23251</v>
      </c>
      <c r="B82" t="s">
        <v>38</v>
      </c>
      <c r="C82" t="s">
        <v>39</v>
      </c>
      <c r="D82" s="5">
        <v>90000</v>
      </c>
      <c r="E82">
        <v>4</v>
      </c>
      <c r="F82" t="s">
        <v>34</v>
      </c>
      <c r="G82" t="s">
        <v>23</v>
      </c>
      <c r="H82" t="s">
        <v>20</v>
      </c>
      <c r="I82">
        <v>3</v>
      </c>
      <c r="J82" t="s">
        <v>43</v>
      </c>
      <c r="K82" t="s">
        <v>27</v>
      </c>
      <c r="L82">
        <v>47</v>
      </c>
      <c r="M82" t="str">
        <f t="shared" si="1"/>
        <v>Adults</v>
      </c>
      <c r="N82" t="s">
        <v>20</v>
      </c>
    </row>
    <row r="83" spans="1:14">
      <c r="A83">
        <v>18877</v>
      </c>
      <c r="B83" t="s">
        <v>41</v>
      </c>
      <c r="C83" t="s">
        <v>39</v>
      </c>
      <c r="D83" s="5">
        <v>50000</v>
      </c>
      <c r="E83">
        <v>2</v>
      </c>
      <c r="F83" t="s">
        <v>21</v>
      </c>
      <c r="G83" t="s">
        <v>16</v>
      </c>
      <c r="H83" t="s">
        <v>17</v>
      </c>
      <c r="I83">
        <v>4</v>
      </c>
      <c r="J83" t="s">
        <v>29</v>
      </c>
      <c r="K83" t="s">
        <v>19</v>
      </c>
      <c r="L83">
        <v>38</v>
      </c>
      <c r="M83" t="str">
        <f t="shared" si="1"/>
        <v>Adults</v>
      </c>
      <c r="N83" t="s">
        <v>20</v>
      </c>
    </row>
    <row r="84" spans="1:14">
      <c r="A84">
        <v>19060</v>
      </c>
      <c r="B84" t="s">
        <v>41</v>
      </c>
      <c r="C84" t="s">
        <v>40</v>
      </c>
      <c r="D84" s="5">
        <v>70000</v>
      </c>
      <c r="E84">
        <v>2</v>
      </c>
      <c r="F84" t="s">
        <v>21</v>
      </c>
      <c r="G84" t="s">
        <v>23</v>
      </c>
      <c r="H84" t="s">
        <v>17</v>
      </c>
      <c r="I84">
        <v>2</v>
      </c>
      <c r="J84" t="s">
        <v>18</v>
      </c>
      <c r="K84" t="s">
        <v>35</v>
      </c>
      <c r="L84">
        <v>59</v>
      </c>
      <c r="M84" t="str">
        <f t="shared" si="1"/>
        <v>Old</v>
      </c>
      <c r="N84" t="s">
        <v>17</v>
      </c>
    </row>
    <row r="85" spans="1:14">
      <c r="A85">
        <v>18988</v>
      </c>
      <c r="B85" t="s">
        <v>38</v>
      </c>
      <c r="C85" t="s">
        <v>40</v>
      </c>
      <c r="D85" s="5">
        <v>110000</v>
      </c>
      <c r="E85">
        <v>1</v>
      </c>
      <c r="F85" t="s">
        <v>34</v>
      </c>
      <c r="G85" t="s">
        <v>23</v>
      </c>
      <c r="H85" t="s">
        <v>20</v>
      </c>
      <c r="I85">
        <v>0</v>
      </c>
      <c r="J85" t="s">
        <v>18</v>
      </c>
      <c r="K85" t="s">
        <v>35</v>
      </c>
      <c r="L85">
        <v>43</v>
      </c>
      <c r="M85" t="str">
        <f t="shared" si="1"/>
        <v>Adults</v>
      </c>
      <c r="N85" t="s">
        <v>20</v>
      </c>
    </row>
    <row r="86" spans="1:14">
      <c r="A86">
        <v>25686</v>
      </c>
      <c r="B86" t="s">
        <v>41</v>
      </c>
      <c r="C86" t="s">
        <v>39</v>
      </c>
      <c r="D86" s="5">
        <v>60000</v>
      </c>
      <c r="E86">
        <v>3</v>
      </c>
      <c r="F86" t="s">
        <v>21</v>
      </c>
      <c r="G86" t="s">
        <v>16</v>
      </c>
      <c r="H86" t="s">
        <v>17</v>
      </c>
      <c r="I86">
        <v>0</v>
      </c>
      <c r="J86" t="s">
        <v>26</v>
      </c>
      <c r="K86" t="s">
        <v>27</v>
      </c>
      <c r="L86">
        <v>29</v>
      </c>
      <c r="M86" t="str">
        <f t="shared" si="1"/>
        <v>Young</v>
      </c>
      <c r="N86" t="s">
        <v>17</v>
      </c>
    </row>
    <row r="87" spans="1:14">
      <c r="A87">
        <v>14971</v>
      </c>
      <c r="B87" t="s">
        <v>38</v>
      </c>
      <c r="C87" t="s">
        <v>39</v>
      </c>
      <c r="D87" s="5">
        <v>10000</v>
      </c>
      <c r="E87">
        <v>4</v>
      </c>
      <c r="F87" t="s">
        <v>15</v>
      </c>
      <c r="G87" t="s">
        <v>22</v>
      </c>
      <c r="H87" t="s">
        <v>20</v>
      </c>
      <c r="I87">
        <v>4</v>
      </c>
      <c r="J87" t="s">
        <v>43</v>
      </c>
      <c r="K87" t="s">
        <v>35</v>
      </c>
      <c r="L87">
        <v>39</v>
      </c>
      <c r="M87" t="str">
        <f t="shared" si="1"/>
        <v>Adults</v>
      </c>
      <c r="N87" t="s">
        <v>20</v>
      </c>
    </row>
    <row r="88" spans="1:14">
      <c r="A88">
        <v>24762</v>
      </c>
      <c r="B88" t="s">
        <v>41</v>
      </c>
      <c r="C88" t="s">
        <v>39</v>
      </c>
      <c r="D88" s="5">
        <v>30000</v>
      </c>
      <c r="E88">
        <v>4</v>
      </c>
      <c r="F88" t="s">
        <v>34</v>
      </c>
      <c r="G88" t="s">
        <v>28</v>
      </c>
      <c r="H88" t="s">
        <v>17</v>
      </c>
      <c r="I88">
        <v>4</v>
      </c>
      <c r="J88" t="s">
        <v>18</v>
      </c>
      <c r="K88" t="s">
        <v>19</v>
      </c>
      <c r="L88">
        <v>65</v>
      </c>
      <c r="M88" t="str">
        <f t="shared" si="1"/>
        <v>Old</v>
      </c>
      <c r="N88" t="s">
        <v>17</v>
      </c>
    </row>
    <row r="89" spans="1:14">
      <c r="A89">
        <v>18671</v>
      </c>
      <c r="B89" t="s">
        <v>38</v>
      </c>
      <c r="C89" t="s">
        <v>40</v>
      </c>
      <c r="D89" s="5">
        <v>10000</v>
      </c>
      <c r="E89">
        <v>1</v>
      </c>
      <c r="F89" t="s">
        <v>21</v>
      </c>
      <c r="G89" t="s">
        <v>22</v>
      </c>
      <c r="H89" t="s">
        <v>17</v>
      </c>
      <c r="I89">
        <v>3</v>
      </c>
      <c r="J89" t="s">
        <v>26</v>
      </c>
      <c r="K89" t="s">
        <v>35</v>
      </c>
      <c r="L89">
        <v>63</v>
      </c>
      <c r="M89" t="str">
        <f t="shared" si="1"/>
        <v>Old</v>
      </c>
      <c r="N89" t="s">
        <v>20</v>
      </c>
    </row>
    <row r="90" spans="1:14">
      <c r="A90">
        <v>19543</v>
      </c>
      <c r="B90" t="s">
        <v>38</v>
      </c>
      <c r="C90" t="s">
        <v>40</v>
      </c>
      <c r="D90" s="5">
        <v>110000</v>
      </c>
      <c r="E90">
        <v>3</v>
      </c>
      <c r="F90" t="s">
        <v>30</v>
      </c>
      <c r="G90" t="s">
        <v>23</v>
      </c>
      <c r="H90" t="s">
        <v>17</v>
      </c>
      <c r="I90">
        <v>1</v>
      </c>
      <c r="J90" t="s">
        <v>24</v>
      </c>
      <c r="K90" t="s">
        <v>35</v>
      </c>
      <c r="L90">
        <v>62</v>
      </c>
      <c r="M90" t="str">
        <f t="shared" si="1"/>
        <v>Old</v>
      </c>
      <c r="N90" t="s">
        <v>17</v>
      </c>
    </row>
    <row r="91" spans="1:14">
      <c r="A91">
        <v>23930</v>
      </c>
      <c r="B91" t="s">
        <v>38</v>
      </c>
      <c r="C91" t="s">
        <v>40</v>
      </c>
      <c r="D91" s="5">
        <v>120000</v>
      </c>
      <c r="E91">
        <v>1</v>
      </c>
      <c r="F91" t="s">
        <v>21</v>
      </c>
      <c r="G91" t="s">
        <v>23</v>
      </c>
      <c r="H91" t="s">
        <v>17</v>
      </c>
      <c r="I91">
        <v>0</v>
      </c>
      <c r="J91" t="s">
        <v>29</v>
      </c>
      <c r="K91" t="s">
        <v>27</v>
      </c>
      <c r="L91">
        <v>63</v>
      </c>
      <c r="M91" t="str">
        <f t="shared" si="1"/>
        <v>Old</v>
      </c>
      <c r="N91" t="s">
        <v>20</v>
      </c>
    </row>
    <row r="92" spans="1:14">
      <c r="A92">
        <v>24390</v>
      </c>
      <c r="B92" t="s">
        <v>38</v>
      </c>
      <c r="C92" t="s">
        <v>39</v>
      </c>
      <c r="D92" s="5">
        <v>30000</v>
      </c>
      <c r="E92">
        <v>4</v>
      </c>
      <c r="F92" t="s">
        <v>30</v>
      </c>
      <c r="G92" t="s">
        <v>28</v>
      </c>
      <c r="H92" t="s">
        <v>20</v>
      </c>
      <c r="I92">
        <v>3</v>
      </c>
      <c r="J92" t="s">
        <v>18</v>
      </c>
      <c r="K92" t="s">
        <v>35</v>
      </c>
      <c r="L92">
        <v>27</v>
      </c>
      <c r="M92" t="str">
        <f t="shared" si="1"/>
        <v>Young</v>
      </c>
      <c r="N92" t="s">
        <v>20</v>
      </c>
    </row>
    <row r="93" spans="1:14">
      <c r="A93">
        <v>29782</v>
      </c>
      <c r="B93" t="s">
        <v>41</v>
      </c>
      <c r="C93" t="s">
        <v>40</v>
      </c>
      <c r="D93" s="5">
        <v>10000</v>
      </c>
      <c r="E93">
        <v>5</v>
      </c>
      <c r="F93" t="s">
        <v>15</v>
      </c>
      <c r="G93" t="s">
        <v>22</v>
      </c>
      <c r="H93" t="s">
        <v>20</v>
      </c>
      <c r="I93">
        <v>4</v>
      </c>
      <c r="J93" t="s">
        <v>18</v>
      </c>
      <c r="K93" t="s">
        <v>19</v>
      </c>
      <c r="L93">
        <v>55</v>
      </c>
      <c r="M93" t="str">
        <f t="shared" si="1"/>
        <v>Adults</v>
      </c>
      <c r="N93" t="s">
        <v>20</v>
      </c>
    </row>
    <row r="94" spans="1:14">
      <c r="A94">
        <v>19114</v>
      </c>
      <c r="B94" t="s">
        <v>38</v>
      </c>
      <c r="C94" t="s">
        <v>39</v>
      </c>
      <c r="D94" s="5">
        <v>70000</v>
      </c>
      <c r="E94">
        <v>2</v>
      </c>
      <c r="F94" t="s">
        <v>42</v>
      </c>
      <c r="G94" t="s">
        <v>16</v>
      </c>
      <c r="H94" t="s">
        <v>20</v>
      </c>
      <c r="I94">
        <v>2</v>
      </c>
      <c r="J94" t="s">
        <v>24</v>
      </c>
      <c r="K94" t="s">
        <v>35</v>
      </c>
      <c r="L94">
        <v>31</v>
      </c>
      <c r="M94" t="str">
        <f t="shared" si="1"/>
        <v>Adults</v>
      </c>
      <c r="N94" t="s">
        <v>17</v>
      </c>
    </row>
    <row r="95" spans="1:14">
      <c r="A95">
        <v>20807</v>
      </c>
      <c r="B95" t="s">
        <v>41</v>
      </c>
      <c r="C95" t="s">
        <v>39</v>
      </c>
      <c r="D95" s="5">
        <v>10000</v>
      </c>
      <c r="E95">
        <v>3</v>
      </c>
      <c r="F95" t="s">
        <v>30</v>
      </c>
      <c r="G95" t="s">
        <v>28</v>
      </c>
      <c r="H95" t="s">
        <v>17</v>
      </c>
      <c r="I95">
        <v>2</v>
      </c>
      <c r="J95" t="s">
        <v>24</v>
      </c>
      <c r="K95" t="s">
        <v>27</v>
      </c>
      <c r="L95">
        <v>32</v>
      </c>
      <c r="M95" t="str">
        <f t="shared" si="1"/>
        <v>Adults</v>
      </c>
      <c r="N95" t="s">
        <v>20</v>
      </c>
    </row>
    <row r="96" spans="1:14">
      <c r="A96">
        <v>26862</v>
      </c>
      <c r="B96" t="s">
        <v>38</v>
      </c>
      <c r="C96" t="s">
        <v>39</v>
      </c>
      <c r="D96" s="5">
        <v>50000</v>
      </c>
      <c r="E96">
        <v>4</v>
      </c>
      <c r="F96" t="s">
        <v>42</v>
      </c>
      <c r="G96" t="s">
        <v>16</v>
      </c>
      <c r="H96" t="s">
        <v>20</v>
      </c>
      <c r="I96">
        <v>4</v>
      </c>
      <c r="J96" t="s">
        <v>26</v>
      </c>
      <c r="K96" t="s">
        <v>35</v>
      </c>
      <c r="L96">
        <v>53</v>
      </c>
      <c r="M96" t="str">
        <f t="shared" si="1"/>
        <v>Adults</v>
      </c>
      <c r="N96" t="s">
        <v>17</v>
      </c>
    </row>
    <row r="97" spans="1:14">
      <c r="A97">
        <v>16670</v>
      </c>
      <c r="B97" t="s">
        <v>41</v>
      </c>
      <c r="C97" t="s">
        <v>40</v>
      </c>
      <c r="D97" s="5">
        <v>40000</v>
      </c>
      <c r="E97">
        <v>0</v>
      </c>
      <c r="F97" t="s">
        <v>30</v>
      </c>
      <c r="G97" t="s">
        <v>28</v>
      </c>
      <c r="H97" t="s">
        <v>17</v>
      </c>
      <c r="I97">
        <v>4</v>
      </c>
      <c r="J97" t="s">
        <v>29</v>
      </c>
      <c r="K97" t="s">
        <v>35</v>
      </c>
      <c r="L97">
        <v>35</v>
      </c>
      <c r="M97" t="str">
        <f t="shared" si="1"/>
        <v>Adults</v>
      </c>
      <c r="N97" t="s">
        <v>20</v>
      </c>
    </row>
    <row r="98" spans="1:14">
      <c r="A98">
        <v>28049</v>
      </c>
      <c r="B98" t="s">
        <v>38</v>
      </c>
      <c r="C98" t="s">
        <v>39</v>
      </c>
      <c r="D98" s="5">
        <v>10000</v>
      </c>
      <c r="E98">
        <v>3</v>
      </c>
      <c r="F98" t="s">
        <v>15</v>
      </c>
      <c r="G98" t="s">
        <v>22</v>
      </c>
      <c r="H98" t="s">
        <v>17</v>
      </c>
      <c r="I98">
        <v>1</v>
      </c>
      <c r="J98" t="s">
        <v>26</v>
      </c>
      <c r="K98" t="s">
        <v>35</v>
      </c>
      <c r="L98">
        <v>43</v>
      </c>
      <c r="M98" t="str">
        <f t="shared" si="1"/>
        <v>Adults</v>
      </c>
      <c r="N98" t="s">
        <v>20</v>
      </c>
    </row>
    <row r="99" spans="1:14">
      <c r="A99">
        <v>23614</v>
      </c>
      <c r="B99" t="s">
        <v>41</v>
      </c>
      <c r="C99" t="s">
        <v>39</v>
      </c>
      <c r="D99" s="5">
        <v>20000</v>
      </c>
      <c r="E99">
        <v>3</v>
      </c>
      <c r="F99" t="s">
        <v>21</v>
      </c>
      <c r="G99" t="s">
        <v>28</v>
      </c>
      <c r="H99" t="s">
        <v>17</v>
      </c>
      <c r="I99">
        <v>4</v>
      </c>
      <c r="J99" t="s">
        <v>43</v>
      </c>
      <c r="K99" t="s">
        <v>35</v>
      </c>
      <c r="L99">
        <v>33</v>
      </c>
      <c r="M99" t="str">
        <f t="shared" si="1"/>
        <v>Adults</v>
      </c>
      <c r="N99" t="s">
        <v>17</v>
      </c>
    </row>
    <row r="100" spans="1:14">
      <c r="A100">
        <v>19052</v>
      </c>
      <c r="B100" t="s">
        <v>41</v>
      </c>
      <c r="C100" t="s">
        <v>39</v>
      </c>
      <c r="D100" s="5">
        <v>120000</v>
      </c>
      <c r="E100">
        <v>0</v>
      </c>
      <c r="F100" t="s">
        <v>34</v>
      </c>
      <c r="G100" t="s">
        <v>23</v>
      </c>
      <c r="H100" t="s">
        <v>20</v>
      </c>
      <c r="I100">
        <v>2</v>
      </c>
      <c r="J100" t="s">
        <v>43</v>
      </c>
      <c r="K100" t="s">
        <v>35</v>
      </c>
      <c r="L100">
        <v>56</v>
      </c>
      <c r="M100" t="str">
        <f t="shared" si="1"/>
        <v>Old</v>
      </c>
      <c r="N100" t="s">
        <v>17</v>
      </c>
    </row>
    <row r="101" spans="1:14">
      <c r="A101">
        <v>24632</v>
      </c>
      <c r="B101" t="s">
        <v>41</v>
      </c>
      <c r="C101" t="s">
        <v>39</v>
      </c>
      <c r="D101" s="5">
        <v>160000</v>
      </c>
      <c r="E101">
        <v>3</v>
      </c>
      <c r="F101" t="s">
        <v>30</v>
      </c>
      <c r="G101" t="s">
        <v>31</v>
      </c>
      <c r="H101" t="s">
        <v>20</v>
      </c>
      <c r="I101">
        <v>2</v>
      </c>
      <c r="J101" t="s">
        <v>29</v>
      </c>
      <c r="K101" t="s">
        <v>35</v>
      </c>
      <c r="L101">
        <v>40</v>
      </c>
      <c r="M101" t="str">
        <f t="shared" si="1"/>
        <v>Adults</v>
      </c>
      <c r="N101" t="s">
        <v>20</v>
      </c>
    </row>
    <row r="102" spans="1:14">
      <c r="A102">
        <v>17653</v>
      </c>
      <c r="B102" t="s">
        <v>41</v>
      </c>
      <c r="C102" t="s">
        <v>40</v>
      </c>
      <c r="D102" s="5">
        <v>40000</v>
      </c>
      <c r="E102">
        <v>3</v>
      </c>
      <c r="F102" t="s">
        <v>30</v>
      </c>
      <c r="G102" t="s">
        <v>28</v>
      </c>
      <c r="H102" t="s">
        <v>17</v>
      </c>
      <c r="I102">
        <v>3</v>
      </c>
      <c r="J102" t="s">
        <v>18</v>
      </c>
      <c r="K102" t="s">
        <v>19</v>
      </c>
      <c r="L102">
        <v>57</v>
      </c>
      <c r="M102" t="str">
        <f t="shared" si="1"/>
        <v>Old</v>
      </c>
      <c r="N102" t="s">
        <v>20</v>
      </c>
    </row>
    <row r="103" spans="1:14">
      <c r="A103">
        <v>13288</v>
      </c>
      <c r="B103" t="s">
        <v>41</v>
      </c>
      <c r="C103" t="s">
        <v>40</v>
      </c>
      <c r="D103" s="5">
        <v>10000</v>
      </c>
      <c r="E103">
        <v>5</v>
      </c>
      <c r="F103" t="s">
        <v>34</v>
      </c>
      <c r="G103" t="s">
        <v>28</v>
      </c>
      <c r="H103" t="s">
        <v>17</v>
      </c>
      <c r="I103">
        <v>3</v>
      </c>
      <c r="J103" t="s">
        <v>29</v>
      </c>
      <c r="K103" t="s">
        <v>19</v>
      </c>
      <c r="L103">
        <v>55</v>
      </c>
      <c r="M103" t="str">
        <f t="shared" si="1"/>
        <v>Adults</v>
      </c>
      <c r="N103" t="s">
        <v>20</v>
      </c>
    </row>
    <row r="104" spans="1:14">
      <c r="A104">
        <v>21093</v>
      </c>
      <c r="B104" t="s">
        <v>41</v>
      </c>
      <c r="C104" t="s">
        <v>40</v>
      </c>
      <c r="D104" s="5">
        <v>140000</v>
      </c>
      <c r="E104">
        <v>2</v>
      </c>
      <c r="F104" t="s">
        <v>30</v>
      </c>
      <c r="G104" t="s">
        <v>31</v>
      </c>
      <c r="H104" t="s">
        <v>20</v>
      </c>
      <c r="I104">
        <v>4</v>
      </c>
      <c r="J104" t="s">
        <v>18</v>
      </c>
      <c r="K104" t="s">
        <v>35</v>
      </c>
      <c r="L104">
        <v>29</v>
      </c>
      <c r="M104" t="str">
        <f t="shared" si="1"/>
        <v>Young</v>
      </c>
      <c r="N104" t="s">
        <v>17</v>
      </c>
    </row>
    <row r="105" spans="1:14">
      <c r="A105">
        <v>19416</v>
      </c>
      <c r="B105" t="s">
        <v>38</v>
      </c>
      <c r="C105" t="s">
        <v>40</v>
      </c>
      <c r="D105" s="5">
        <v>40000</v>
      </c>
      <c r="E105">
        <v>3</v>
      </c>
      <c r="F105" t="s">
        <v>42</v>
      </c>
      <c r="G105" t="s">
        <v>16</v>
      </c>
      <c r="H105" t="s">
        <v>17</v>
      </c>
      <c r="I105">
        <v>2</v>
      </c>
      <c r="J105" t="s">
        <v>18</v>
      </c>
      <c r="K105" t="s">
        <v>19</v>
      </c>
      <c r="L105">
        <v>45</v>
      </c>
      <c r="M105" t="str">
        <f t="shared" si="1"/>
        <v>Adults</v>
      </c>
      <c r="N105" t="s">
        <v>17</v>
      </c>
    </row>
    <row r="106" spans="1:14">
      <c r="A106">
        <v>19613</v>
      </c>
      <c r="B106" t="s">
        <v>41</v>
      </c>
      <c r="C106" t="s">
        <v>39</v>
      </c>
      <c r="D106" s="5">
        <v>20000</v>
      </c>
      <c r="E106">
        <v>4</v>
      </c>
      <c r="F106" t="s">
        <v>42</v>
      </c>
      <c r="G106" t="s">
        <v>22</v>
      </c>
      <c r="H106" t="s">
        <v>20</v>
      </c>
      <c r="I106">
        <v>4</v>
      </c>
      <c r="J106" t="s">
        <v>29</v>
      </c>
      <c r="K106" t="s">
        <v>19</v>
      </c>
      <c r="L106">
        <v>36</v>
      </c>
      <c r="M106" t="str">
        <f t="shared" si="1"/>
        <v>Adults</v>
      </c>
      <c r="N106" t="s">
        <v>17</v>
      </c>
    </row>
    <row r="107" spans="1:14">
      <c r="A107">
        <v>29971</v>
      </c>
      <c r="B107" t="s">
        <v>41</v>
      </c>
      <c r="C107" t="s">
        <v>40</v>
      </c>
      <c r="D107" s="5">
        <v>100000</v>
      </c>
      <c r="E107">
        <v>1</v>
      </c>
      <c r="F107" t="s">
        <v>42</v>
      </c>
      <c r="G107" t="s">
        <v>31</v>
      </c>
      <c r="H107" t="s">
        <v>20</v>
      </c>
      <c r="I107">
        <v>2</v>
      </c>
      <c r="J107" t="s">
        <v>26</v>
      </c>
      <c r="K107" t="s">
        <v>27</v>
      </c>
      <c r="L107">
        <v>25</v>
      </c>
      <c r="M107" t="str">
        <f t="shared" si="1"/>
        <v>Young</v>
      </c>
      <c r="N107" t="s">
        <v>20</v>
      </c>
    </row>
    <row r="108" spans="1:14">
      <c r="A108">
        <v>19425</v>
      </c>
      <c r="B108" t="s">
        <v>38</v>
      </c>
      <c r="C108" t="s">
        <v>40</v>
      </c>
      <c r="D108" s="5">
        <v>100000</v>
      </c>
      <c r="E108">
        <v>2</v>
      </c>
      <c r="F108" t="s">
        <v>42</v>
      </c>
      <c r="G108" t="s">
        <v>23</v>
      </c>
      <c r="H108" t="s">
        <v>20</v>
      </c>
      <c r="I108">
        <v>2</v>
      </c>
      <c r="J108" t="s">
        <v>26</v>
      </c>
      <c r="K108" t="s">
        <v>27</v>
      </c>
      <c r="L108">
        <v>37</v>
      </c>
      <c r="M108" t="str">
        <f t="shared" si="1"/>
        <v>Adults</v>
      </c>
      <c r="N108" t="s">
        <v>20</v>
      </c>
    </row>
    <row r="109" spans="1:14">
      <c r="A109">
        <v>25833</v>
      </c>
      <c r="B109" t="s">
        <v>38</v>
      </c>
      <c r="C109" t="s">
        <v>40</v>
      </c>
      <c r="D109" s="5">
        <v>130000</v>
      </c>
      <c r="E109">
        <v>4</v>
      </c>
      <c r="F109" t="s">
        <v>42</v>
      </c>
      <c r="G109" t="s">
        <v>31</v>
      </c>
      <c r="H109" t="s">
        <v>20</v>
      </c>
      <c r="I109">
        <v>2</v>
      </c>
      <c r="J109" t="s">
        <v>18</v>
      </c>
      <c r="K109" t="s">
        <v>35</v>
      </c>
      <c r="L109">
        <v>50</v>
      </c>
      <c r="M109" t="str">
        <f t="shared" si="1"/>
        <v>Adults</v>
      </c>
      <c r="N109" t="s">
        <v>20</v>
      </c>
    </row>
    <row r="110" spans="1:14">
      <c r="A110">
        <v>10265</v>
      </c>
      <c r="B110" t="s">
        <v>38</v>
      </c>
      <c r="C110" t="s">
        <v>39</v>
      </c>
      <c r="D110" s="5">
        <v>30000</v>
      </c>
      <c r="E110">
        <v>1</v>
      </c>
      <c r="F110" t="s">
        <v>30</v>
      </c>
      <c r="G110" t="s">
        <v>22</v>
      </c>
      <c r="H110" t="s">
        <v>17</v>
      </c>
      <c r="I110">
        <v>4</v>
      </c>
      <c r="J110" t="s">
        <v>24</v>
      </c>
      <c r="K110" t="s">
        <v>35</v>
      </c>
      <c r="L110">
        <v>33</v>
      </c>
      <c r="M110" t="str">
        <f t="shared" si="1"/>
        <v>Adults</v>
      </c>
      <c r="N110" t="s">
        <v>17</v>
      </c>
    </row>
    <row r="111" spans="1:14">
      <c r="A111">
        <v>11291</v>
      </c>
      <c r="B111" t="s">
        <v>41</v>
      </c>
      <c r="C111" t="s">
        <v>39</v>
      </c>
      <c r="D111" s="5">
        <v>130000</v>
      </c>
      <c r="E111">
        <v>5</v>
      </c>
      <c r="F111" t="s">
        <v>15</v>
      </c>
      <c r="G111" t="s">
        <v>31</v>
      </c>
      <c r="H111" t="s">
        <v>17</v>
      </c>
      <c r="I111">
        <v>0</v>
      </c>
      <c r="J111" t="s">
        <v>24</v>
      </c>
      <c r="K111" t="s">
        <v>27</v>
      </c>
      <c r="L111">
        <v>51</v>
      </c>
      <c r="M111" t="str">
        <f t="shared" si="1"/>
        <v>Adults</v>
      </c>
      <c r="N111" t="s">
        <v>17</v>
      </c>
    </row>
    <row r="112" spans="1:14">
      <c r="A112">
        <v>16579</v>
      </c>
      <c r="B112" t="s">
        <v>38</v>
      </c>
      <c r="C112" t="s">
        <v>39</v>
      </c>
      <c r="D112" s="5">
        <v>120000</v>
      </c>
      <c r="E112">
        <v>1</v>
      </c>
      <c r="F112" t="s">
        <v>34</v>
      </c>
      <c r="G112" t="s">
        <v>31</v>
      </c>
      <c r="H112" t="s">
        <v>20</v>
      </c>
      <c r="I112">
        <v>3</v>
      </c>
      <c r="J112" t="s">
        <v>24</v>
      </c>
      <c r="K112" t="s">
        <v>35</v>
      </c>
      <c r="L112">
        <v>46</v>
      </c>
      <c r="M112" t="str">
        <f t="shared" si="1"/>
        <v>Adults</v>
      </c>
      <c r="N112" t="s">
        <v>17</v>
      </c>
    </row>
    <row r="113" spans="1:14">
      <c r="A113">
        <v>25346</v>
      </c>
      <c r="B113" t="s">
        <v>38</v>
      </c>
      <c r="C113" t="s">
        <v>40</v>
      </c>
      <c r="D113" s="5">
        <v>30000</v>
      </c>
      <c r="E113">
        <v>0</v>
      </c>
      <c r="F113" t="s">
        <v>21</v>
      </c>
      <c r="G113" t="s">
        <v>28</v>
      </c>
      <c r="H113" t="s">
        <v>20</v>
      </c>
      <c r="I113">
        <v>0</v>
      </c>
      <c r="J113" t="s">
        <v>24</v>
      </c>
      <c r="K113" t="s">
        <v>35</v>
      </c>
      <c r="L113">
        <v>32</v>
      </c>
      <c r="M113" t="str">
        <f t="shared" si="1"/>
        <v>Adults</v>
      </c>
      <c r="N113" t="s">
        <v>20</v>
      </c>
    </row>
    <row r="114" spans="1:14">
      <c r="A114">
        <v>22077</v>
      </c>
      <c r="B114" t="s">
        <v>41</v>
      </c>
      <c r="C114" t="s">
        <v>39</v>
      </c>
      <c r="D114" s="5">
        <v>50000</v>
      </c>
      <c r="E114">
        <v>3</v>
      </c>
      <c r="F114" t="s">
        <v>30</v>
      </c>
      <c r="G114" t="s">
        <v>16</v>
      </c>
      <c r="H114" t="s">
        <v>17</v>
      </c>
      <c r="I114">
        <v>4</v>
      </c>
      <c r="J114" t="s">
        <v>43</v>
      </c>
      <c r="K114" t="s">
        <v>27</v>
      </c>
      <c r="L114">
        <v>64</v>
      </c>
      <c r="M114" t="str">
        <f t="shared" si="1"/>
        <v>Old</v>
      </c>
      <c r="N114" t="s">
        <v>17</v>
      </c>
    </row>
    <row r="115" spans="1:14">
      <c r="A115">
        <v>12071</v>
      </c>
      <c r="B115" t="s">
        <v>41</v>
      </c>
      <c r="C115" t="s">
        <v>39</v>
      </c>
      <c r="D115" s="5">
        <v>50000</v>
      </c>
      <c r="E115">
        <v>0</v>
      </c>
      <c r="F115" t="s">
        <v>42</v>
      </c>
      <c r="G115" t="s">
        <v>16</v>
      </c>
      <c r="H115" t="s">
        <v>17</v>
      </c>
      <c r="I115">
        <v>2</v>
      </c>
      <c r="J115" t="s">
        <v>26</v>
      </c>
      <c r="K115" t="s">
        <v>19</v>
      </c>
      <c r="L115">
        <v>31</v>
      </c>
      <c r="M115" t="str">
        <f t="shared" si="1"/>
        <v>Adults</v>
      </c>
      <c r="N115" t="s">
        <v>17</v>
      </c>
    </row>
    <row r="116" spans="1:14">
      <c r="A116">
        <v>27614</v>
      </c>
      <c r="B116" t="s">
        <v>38</v>
      </c>
      <c r="C116" t="s">
        <v>39</v>
      </c>
      <c r="D116" s="5">
        <v>110000</v>
      </c>
      <c r="E116">
        <v>5</v>
      </c>
      <c r="F116" t="s">
        <v>42</v>
      </c>
      <c r="G116" t="s">
        <v>23</v>
      </c>
      <c r="H116" t="s">
        <v>20</v>
      </c>
      <c r="I116">
        <v>4</v>
      </c>
      <c r="J116" t="s">
        <v>29</v>
      </c>
      <c r="K116" t="s">
        <v>27</v>
      </c>
      <c r="L116">
        <v>31</v>
      </c>
      <c r="M116" t="str">
        <f t="shared" si="1"/>
        <v>Adults</v>
      </c>
      <c r="N116" t="s">
        <v>20</v>
      </c>
    </row>
    <row r="117" spans="1:14">
      <c r="A117">
        <v>23373</v>
      </c>
      <c r="B117" t="s">
        <v>41</v>
      </c>
      <c r="C117" t="s">
        <v>40</v>
      </c>
      <c r="D117" s="5">
        <v>40000</v>
      </c>
      <c r="E117">
        <v>3</v>
      </c>
      <c r="F117" t="s">
        <v>30</v>
      </c>
      <c r="G117" t="s">
        <v>22</v>
      </c>
      <c r="H117" t="s">
        <v>17</v>
      </c>
      <c r="I117">
        <v>2</v>
      </c>
      <c r="J117" t="s">
        <v>18</v>
      </c>
      <c r="K117" t="s">
        <v>35</v>
      </c>
      <c r="L117">
        <v>48</v>
      </c>
      <c r="M117" t="str">
        <f t="shared" si="1"/>
        <v>Adults</v>
      </c>
      <c r="N117" t="s">
        <v>20</v>
      </c>
    </row>
    <row r="118" spans="1:14">
      <c r="A118">
        <v>11984</v>
      </c>
      <c r="B118" t="s">
        <v>41</v>
      </c>
      <c r="C118" t="s">
        <v>39</v>
      </c>
      <c r="D118" s="5">
        <v>70000</v>
      </c>
      <c r="E118">
        <v>0</v>
      </c>
      <c r="F118" t="s">
        <v>21</v>
      </c>
      <c r="G118" t="s">
        <v>16</v>
      </c>
      <c r="H118" t="s">
        <v>17</v>
      </c>
      <c r="I118">
        <v>4</v>
      </c>
      <c r="J118" t="s">
        <v>18</v>
      </c>
      <c r="K118" t="s">
        <v>19</v>
      </c>
      <c r="L118">
        <v>46</v>
      </c>
      <c r="M118" t="str">
        <f t="shared" si="1"/>
        <v>Adults</v>
      </c>
      <c r="N118" t="s">
        <v>17</v>
      </c>
    </row>
    <row r="119" spans="1:14">
      <c r="A119">
        <v>14126</v>
      </c>
      <c r="B119" t="s">
        <v>38</v>
      </c>
      <c r="C119" t="s">
        <v>40</v>
      </c>
      <c r="D119" s="5">
        <v>20000</v>
      </c>
      <c r="E119">
        <v>1</v>
      </c>
      <c r="F119" t="s">
        <v>34</v>
      </c>
      <c r="G119" t="s">
        <v>22</v>
      </c>
      <c r="H119" t="s">
        <v>20</v>
      </c>
      <c r="I119">
        <v>1</v>
      </c>
      <c r="J119" t="s">
        <v>43</v>
      </c>
      <c r="K119" t="s">
        <v>19</v>
      </c>
      <c r="L119">
        <v>42</v>
      </c>
      <c r="M119" t="str">
        <f t="shared" si="1"/>
        <v>Adults</v>
      </c>
      <c r="N119" t="s">
        <v>17</v>
      </c>
    </row>
    <row r="120" spans="1:14">
      <c r="A120">
        <v>14259</v>
      </c>
      <c r="B120" t="s">
        <v>41</v>
      </c>
      <c r="C120" t="s">
        <v>40</v>
      </c>
      <c r="D120" s="5">
        <v>50000</v>
      </c>
      <c r="E120">
        <v>0</v>
      </c>
      <c r="F120" t="s">
        <v>15</v>
      </c>
      <c r="G120" t="s">
        <v>16</v>
      </c>
      <c r="H120" t="s">
        <v>20</v>
      </c>
      <c r="I120">
        <v>1</v>
      </c>
      <c r="J120" t="s">
        <v>43</v>
      </c>
      <c r="K120" t="s">
        <v>27</v>
      </c>
      <c r="L120">
        <v>26</v>
      </c>
      <c r="M120" t="str">
        <f t="shared" si="1"/>
        <v>Young</v>
      </c>
      <c r="N120" t="s">
        <v>17</v>
      </c>
    </row>
    <row r="121" spans="1:14">
      <c r="A121">
        <v>18695</v>
      </c>
      <c r="B121" t="s">
        <v>38</v>
      </c>
      <c r="C121" t="s">
        <v>40</v>
      </c>
      <c r="D121" s="5">
        <v>90000</v>
      </c>
      <c r="E121">
        <v>5</v>
      </c>
      <c r="F121" t="s">
        <v>42</v>
      </c>
      <c r="G121" t="s">
        <v>31</v>
      </c>
      <c r="H121" t="s">
        <v>17</v>
      </c>
      <c r="I121">
        <v>3</v>
      </c>
      <c r="J121" t="s">
        <v>26</v>
      </c>
      <c r="K121" t="s">
        <v>27</v>
      </c>
      <c r="L121">
        <v>57</v>
      </c>
      <c r="M121" t="str">
        <f t="shared" si="1"/>
        <v>Old</v>
      </c>
      <c r="N121" t="s">
        <v>17</v>
      </c>
    </row>
    <row r="122" spans="1:14">
      <c r="A122">
        <v>24811</v>
      </c>
      <c r="B122" t="s">
        <v>38</v>
      </c>
      <c r="C122" t="s">
        <v>40</v>
      </c>
      <c r="D122" s="5">
        <v>90000</v>
      </c>
      <c r="E122">
        <v>5</v>
      </c>
      <c r="F122" t="s">
        <v>34</v>
      </c>
      <c r="G122" t="s">
        <v>23</v>
      </c>
      <c r="H122" t="s">
        <v>17</v>
      </c>
      <c r="I122">
        <v>0</v>
      </c>
      <c r="J122" t="s">
        <v>26</v>
      </c>
      <c r="K122" t="s">
        <v>27</v>
      </c>
      <c r="L122">
        <v>52</v>
      </c>
      <c r="M122" t="str">
        <f t="shared" si="1"/>
        <v>Adults</v>
      </c>
      <c r="N122" t="s">
        <v>17</v>
      </c>
    </row>
    <row r="123" spans="1:14">
      <c r="A123">
        <v>26065</v>
      </c>
      <c r="B123" t="s">
        <v>41</v>
      </c>
      <c r="C123" t="s">
        <v>40</v>
      </c>
      <c r="D123" s="5">
        <v>100000</v>
      </c>
      <c r="E123">
        <v>1</v>
      </c>
      <c r="F123" t="s">
        <v>15</v>
      </c>
      <c r="G123" t="s">
        <v>23</v>
      </c>
      <c r="H123" t="s">
        <v>17</v>
      </c>
      <c r="I123">
        <v>1</v>
      </c>
      <c r="J123" t="s">
        <v>24</v>
      </c>
      <c r="K123" t="s">
        <v>35</v>
      </c>
      <c r="L123">
        <v>65</v>
      </c>
      <c r="M123" t="str">
        <f t="shared" si="1"/>
        <v>Old</v>
      </c>
      <c r="N123" t="s">
        <v>20</v>
      </c>
    </row>
    <row r="124" spans="1:14">
      <c r="A124">
        <v>22481</v>
      </c>
      <c r="B124" t="s">
        <v>41</v>
      </c>
      <c r="C124" t="s">
        <v>39</v>
      </c>
      <c r="D124" s="5">
        <v>140000</v>
      </c>
      <c r="E124">
        <v>0</v>
      </c>
      <c r="F124" t="s">
        <v>34</v>
      </c>
      <c r="G124" t="s">
        <v>31</v>
      </c>
      <c r="H124" t="s">
        <v>17</v>
      </c>
      <c r="I124">
        <v>4</v>
      </c>
      <c r="J124" t="s">
        <v>29</v>
      </c>
      <c r="K124" t="s">
        <v>27</v>
      </c>
      <c r="L124">
        <v>53</v>
      </c>
      <c r="M124" t="str">
        <f t="shared" si="1"/>
        <v>Adults</v>
      </c>
      <c r="N124" t="s">
        <v>17</v>
      </c>
    </row>
    <row r="125" spans="1:14">
      <c r="A125">
        <v>23559</v>
      </c>
      <c r="B125" t="s">
        <v>41</v>
      </c>
      <c r="C125" t="s">
        <v>39</v>
      </c>
      <c r="D125" s="5">
        <v>10000</v>
      </c>
      <c r="E125">
        <v>2</v>
      </c>
      <c r="F125" t="s">
        <v>42</v>
      </c>
      <c r="G125" t="s">
        <v>28</v>
      </c>
      <c r="H125" t="s">
        <v>20</v>
      </c>
      <c r="I125">
        <v>2</v>
      </c>
      <c r="J125" t="s">
        <v>24</v>
      </c>
      <c r="K125" t="s">
        <v>27</v>
      </c>
      <c r="L125">
        <v>34</v>
      </c>
      <c r="M125" t="str">
        <f t="shared" si="1"/>
        <v>Adults</v>
      </c>
      <c r="N125" t="s">
        <v>20</v>
      </c>
    </row>
    <row r="126" spans="1:14">
      <c r="A126">
        <v>12199</v>
      </c>
      <c r="B126" t="s">
        <v>38</v>
      </c>
      <c r="C126" t="s">
        <v>40</v>
      </c>
      <c r="D126" s="5">
        <v>10000</v>
      </c>
      <c r="E126">
        <v>5</v>
      </c>
      <c r="F126" t="s">
        <v>15</v>
      </c>
      <c r="G126" t="s">
        <v>28</v>
      </c>
      <c r="H126" t="s">
        <v>20</v>
      </c>
      <c r="I126">
        <v>1</v>
      </c>
      <c r="J126" t="s">
        <v>43</v>
      </c>
      <c r="K126" t="s">
        <v>19</v>
      </c>
      <c r="L126">
        <v>62</v>
      </c>
      <c r="M126" t="str">
        <f t="shared" si="1"/>
        <v>Old</v>
      </c>
      <c r="N126" t="s">
        <v>20</v>
      </c>
    </row>
    <row r="127" spans="1:14">
      <c r="A127">
        <v>14005</v>
      </c>
      <c r="B127" t="s">
        <v>41</v>
      </c>
      <c r="C127" t="s">
        <v>39</v>
      </c>
      <c r="D127" s="5">
        <v>60000</v>
      </c>
      <c r="E127">
        <v>4</v>
      </c>
      <c r="F127" t="s">
        <v>42</v>
      </c>
      <c r="G127" t="s">
        <v>16</v>
      </c>
      <c r="H127" t="s">
        <v>20</v>
      </c>
      <c r="I127">
        <v>2</v>
      </c>
      <c r="J127" t="s">
        <v>18</v>
      </c>
      <c r="K127" t="s">
        <v>35</v>
      </c>
      <c r="L127">
        <v>57</v>
      </c>
      <c r="M127" t="str">
        <f t="shared" si="1"/>
        <v>Old</v>
      </c>
      <c r="N127" t="s">
        <v>17</v>
      </c>
    </row>
    <row r="128" spans="1:14">
      <c r="A128">
        <v>15070</v>
      </c>
      <c r="B128" t="s">
        <v>41</v>
      </c>
      <c r="C128" t="s">
        <v>40</v>
      </c>
      <c r="D128" s="5">
        <v>120000</v>
      </c>
      <c r="E128">
        <v>4</v>
      </c>
      <c r="F128" t="s">
        <v>15</v>
      </c>
      <c r="G128" t="s">
        <v>23</v>
      </c>
      <c r="H128" t="s">
        <v>20</v>
      </c>
      <c r="I128">
        <v>0</v>
      </c>
      <c r="J128" t="s">
        <v>24</v>
      </c>
      <c r="K128" t="s">
        <v>35</v>
      </c>
      <c r="L128">
        <v>39</v>
      </c>
      <c r="M128" t="str">
        <f t="shared" si="1"/>
        <v>Adults</v>
      </c>
      <c r="N128" t="s">
        <v>20</v>
      </c>
    </row>
    <row r="129" spans="1:14">
      <c r="A129">
        <v>28381</v>
      </c>
      <c r="B129" t="s">
        <v>38</v>
      </c>
      <c r="C129" t="s">
        <v>39</v>
      </c>
      <c r="D129" s="5">
        <v>30000</v>
      </c>
      <c r="E129">
        <v>5</v>
      </c>
      <c r="F129" t="s">
        <v>15</v>
      </c>
      <c r="G129" t="s">
        <v>22</v>
      </c>
      <c r="H129" t="s">
        <v>20</v>
      </c>
      <c r="I129">
        <v>2</v>
      </c>
      <c r="J129" t="s">
        <v>24</v>
      </c>
      <c r="K129" t="s">
        <v>19</v>
      </c>
      <c r="L129">
        <v>36</v>
      </c>
      <c r="M129" t="str">
        <f t="shared" si="1"/>
        <v>Adults</v>
      </c>
      <c r="N129" t="s">
        <v>17</v>
      </c>
    </row>
    <row r="130" spans="1:14">
      <c r="A130">
        <v>28557</v>
      </c>
      <c r="B130" t="s">
        <v>41</v>
      </c>
      <c r="C130" t="s">
        <v>40</v>
      </c>
      <c r="D130" s="5">
        <v>40000</v>
      </c>
      <c r="E130">
        <v>5</v>
      </c>
      <c r="F130" t="s">
        <v>21</v>
      </c>
      <c r="G130" t="s">
        <v>16</v>
      </c>
      <c r="H130" t="s">
        <v>17</v>
      </c>
      <c r="I130">
        <v>3</v>
      </c>
      <c r="J130" t="s">
        <v>26</v>
      </c>
      <c r="K130" t="s">
        <v>27</v>
      </c>
      <c r="L130">
        <v>46</v>
      </c>
      <c r="M130" t="str">
        <f t="shared" si="1"/>
        <v>Adults</v>
      </c>
      <c r="N130" t="s">
        <v>17</v>
      </c>
    </row>
    <row r="131" spans="1:14">
      <c r="A131">
        <v>22125</v>
      </c>
      <c r="B131" t="s">
        <v>41</v>
      </c>
      <c r="C131" t="s">
        <v>39</v>
      </c>
      <c r="D131" s="5">
        <v>90000</v>
      </c>
      <c r="E131">
        <v>0</v>
      </c>
      <c r="F131" t="s">
        <v>34</v>
      </c>
      <c r="G131" t="s">
        <v>31</v>
      </c>
      <c r="H131" t="s">
        <v>17</v>
      </c>
      <c r="I131">
        <v>1</v>
      </c>
      <c r="J131" t="s">
        <v>43</v>
      </c>
      <c r="K131" t="s">
        <v>19</v>
      </c>
      <c r="L131">
        <v>30</v>
      </c>
      <c r="M131" t="str">
        <f t="shared" ref="M131:M194" si="2">IF(L131&gt;55,"Old",IF(L131&lt;30,"Young","Adults"))</f>
        <v>Adults</v>
      </c>
      <c r="N131" t="s">
        <v>20</v>
      </c>
    </row>
    <row r="132" spans="1:14">
      <c r="A132">
        <v>24519</v>
      </c>
      <c r="B132" t="s">
        <v>41</v>
      </c>
      <c r="C132" t="s">
        <v>39</v>
      </c>
      <c r="D132" s="5">
        <v>40000</v>
      </c>
      <c r="E132">
        <v>2</v>
      </c>
      <c r="F132" t="s">
        <v>34</v>
      </c>
      <c r="G132" t="s">
        <v>28</v>
      </c>
      <c r="H132" t="s">
        <v>17</v>
      </c>
      <c r="I132">
        <v>4</v>
      </c>
      <c r="J132" t="s">
        <v>18</v>
      </c>
      <c r="K132" t="s">
        <v>27</v>
      </c>
      <c r="L132">
        <v>52</v>
      </c>
      <c r="M132" t="str">
        <f t="shared" si="2"/>
        <v>Adults</v>
      </c>
      <c r="N132" t="s">
        <v>17</v>
      </c>
    </row>
    <row r="133" spans="1:14">
      <c r="A133">
        <v>19281</v>
      </c>
      <c r="B133" t="s">
        <v>41</v>
      </c>
      <c r="C133" t="s">
        <v>39</v>
      </c>
      <c r="D133" s="5">
        <v>40000</v>
      </c>
      <c r="E133">
        <v>4</v>
      </c>
      <c r="F133" t="s">
        <v>15</v>
      </c>
      <c r="G133" t="s">
        <v>22</v>
      </c>
      <c r="H133" t="s">
        <v>17</v>
      </c>
      <c r="I133">
        <v>0</v>
      </c>
      <c r="J133" t="s">
        <v>29</v>
      </c>
      <c r="K133" t="s">
        <v>27</v>
      </c>
      <c r="L133">
        <v>38</v>
      </c>
      <c r="M133" t="str">
        <f t="shared" si="2"/>
        <v>Adults</v>
      </c>
      <c r="N133" t="s">
        <v>17</v>
      </c>
    </row>
    <row r="134" spans="1:14">
      <c r="A134">
        <v>18372</v>
      </c>
      <c r="B134" t="s">
        <v>41</v>
      </c>
      <c r="C134" t="s">
        <v>39</v>
      </c>
      <c r="D134" s="5">
        <v>70000</v>
      </c>
      <c r="E134">
        <v>5</v>
      </c>
      <c r="F134" t="s">
        <v>15</v>
      </c>
      <c r="G134" t="s">
        <v>16</v>
      </c>
      <c r="H134" t="s">
        <v>20</v>
      </c>
      <c r="I134">
        <v>1</v>
      </c>
      <c r="J134" t="s">
        <v>29</v>
      </c>
      <c r="K134" t="s">
        <v>27</v>
      </c>
      <c r="L134">
        <v>59</v>
      </c>
      <c r="M134" t="str">
        <f t="shared" si="2"/>
        <v>Old</v>
      </c>
      <c r="N134" t="s">
        <v>17</v>
      </c>
    </row>
    <row r="135" spans="1:14">
      <c r="A135">
        <v>26392</v>
      </c>
      <c r="B135" t="s">
        <v>41</v>
      </c>
      <c r="C135" t="s">
        <v>40</v>
      </c>
      <c r="D135" s="5">
        <v>70000</v>
      </c>
      <c r="E135">
        <v>0</v>
      </c>
      <c r="F135" t="s">
        <v>42</v>
      </c>
      <c r="G135" t="s">
        <v>16</v>
      </c>
      <c r="H135" t="s">
        <v>20</v>
      </c>
      <c r="I135">
        <v>0</v>
      </c>
      <c r="J135" t="s">
        <v>24</v>
      </c>
      <c r="K135" t="s">
        <v>35</v>
      </c>
      <c r="L135">
        <v>52</v>
      </c>
      <c r="M135" t="str">
        <f t="shared" si="2"/>
        <v>Adults</v>
      </c>
      <c r="N135" t="s">
        <v>20</v>
      </c>
    </row>
    <row r="136" spans="1:14">
      <c r="A136">
        <v>23686</v>
      </c>
      <c r="B136" t="s">
        <v>41</v>
      </c>
      <c r="C136" t="s">
        <v>40</v>
      </c>
      <c r="D136" s="5">
        <v>60000</v>
      </c>
      <c r="E136">
        <v>1</v>
      </c>
      <c r="F136" t="s">
        <v>42</v>
      </c>
      <c r="G136" t="s">
        <v>16</v>
      </c>
      <c r="H136" t="s">
        <v>20</v>
      </c>
      <c r="I136">
        <v>2</v>
      </c>
      <c r="J136" t="s">
        <v>18</v>
      </c>
      <c r="K136" t="s">
        <v>27</v>
      </c>
      <c r="L136">
        <v>31</v>
      </c>
      <c r="M136" t="str">
        <f t="shared" si="2"/>
        <v>Adults</v>
      </c>
      <c r="N136" t="s">
        <v>17</v>
      </c>
    </row>
    <row r="137" spans="1:14">
      <c r="A137">
        <v>24276</v>
      </c>
      <c r="B137" t="s">
        <v>41</v>
      </c>
      <c r="C137" t="s">
        <v>40</v>
      </c>
      <c r="D137" s="5">
        <v>110000</v>
      </c>
      <c r="E137">
        <v>2</v>
      </c>
      <c r="F137" t="s">
        <v>42</v>
      </c>
      <c r="G137" t="s">
        <v>23</v>
      </c>
      <c r="H137" t="s">
        <v>17</v>
      </c>
      <c r="I137">
        <v>2</v>
      </c>
      <c r="J137" t="s">
        <v>29</v>
      </c>
      <c r="K137" t="s">
        <v>19</v>
      </c>
      <c r="L137">
        <v>57</v>
      </c>
      <c r="M137" t="str">
        <f t="shared" si="2"/>
        <v>Old</v>
      </c>
      <c r="N137" t="s">
        <v>17</v>
      </c>
    </row>
    <row r="138" spans="1:14">
      <c r="A138">
        <v>27386</v>
      </c>
      <c r="B138" t="s">
        <v>38</v>
      </c>
      <c r="C138" t="s">
        <v>39</v>
      </c>
      <c r="D138" s="5">
        <v>20000</v>
      </c>
      <c r="E138">
        <v>0</v>
      </c>
      <c r="F138" t="s">
        <v>30</v>
      </c>
      <c r="G138" t="s">
        <v>22</v>
      </c>
      <c r="H138" t="s">
        <v>17</v>
      </c>
      <c r="I138">
        <v>2</v>
      </c>
      <c r="J138" t="s">
        <v>29</v>
      </c>
      <c r="K138" t="s">
        <v>19</v>
      </c>
      <c r="L138">
        <v>63</v>
      </c>
      <c r="M138" t="str">
        <f t="shared" si="2"/>
        <v>Old</v>
      </c>
      <c r="N138" t="s">
        <v>17</v>
      </c>
    </row>
    <row r="139" spans="1:14">
      <c r="A139">
        <v>12469</v>
      </c>
      <c r="B139" t="s">
        <v>38</v>
      </c>
      <c r="C139" t="s">
        <v>39</v>
      </c>
      <c r="D139" s="5">
        <v>170000</v>
      </c>
      <c r="E139">
        <v>3</v>
      </c>
      <c r="F139" t="s">
        <v>42</v>
      </c>
      <c r="G139" t="s">
        <v>31</v>
      </c>
      <c r="H139" t="s">
        <v>20</v>
      </c>
      <c r="I139">
        <v>2</v>
      </c>
      <c r="J139" t="s">
        <v>29</v>
      </c>
      <c r="K139" t="s">
        <v>27</v>
      </c>
      <c r="L139">
        <v>29</v>
      </c>
      <c r="M139" t="str">
        <f t="shared" si="2"/>
        <v>Young</v>
      </c>
      <c r="N139" t="s">
        <v>20</v>
      </c>
    </row>
    <row r="140" spans="1:14">
      <c r="A140">
        <v>24490</v>
      </c>
      <c r="B140" t="s">
        <v>41</v>
      </c>
      <c r="C140" t="s">
        <v>39</v>
      </c>
      <c r="D140" s="5">
        <v>60000</v>
      </c>
      <c r="E140">
        <v>4</v>
      </c>
      <c r="F140" t="s">
        <v>34</v>
      </c>
      <c r="G140" t="s">
        <v>16</v>
      </c>
      <c r="H140" t="s">
        <v>17</v>
      </c>
      <c r="I140">
        <v>2</v>
      </c>
      <c r="J140" t="s">
        <v>26</v>
      </c>
      <c r="K140" t="s">
        <v>27</v>
      </c>
      <c r="L140">
        <v>27</v>
      </c>
      <c r="M140" t="str">
        <f t="shared" si="2"/>
        <v>Young</v>
      </c>
      <c r="N140" t="s">
        <v>17</v>
      </c>
    </row>
    <row r="141" spans="1:14">
      <c r="A141">
        <v>22082</v>
      </c>
      <c r="B141" t="s">
        <v>41</v>
      </c>
      <c r="C141" t="s">
        <v>40</v>
      </c>
      <c r="D141" s="5">
        <v>170000</v>
      </c>
      <c r="E141">
        <v>4</v>
      </c>
      <c r="F141" t="s">
        <v>15</v>
      </c>
      <c r="G141" t="s">
        <v>31</v>
      </c>
      <c r="H141" t="s">
        <v>20</v>
      </c>
      <c r="I141">
        <v>3</v>
      </c>
      <c r="J141" t="s">
        <v>43</v>
      </c>
      <c r="K141" t="s">
        <v>35</v>
      </c>
      <c r="L141">
        <v>27</v>
      </c>
      <c r="M141" t="str">
        <f t="shared" si="2"/>
        <v>Young</v>
      </c>
      <c r="N141" t="s">
        <v>20</v>
      </c>
    </row>
    <row r="142" spans="1:14">
      <c r="A142">
        <v>28732</v>
      </c>
      <c r="B142" t="s">
        <v>38</v>
      </c>
      <c r="C142" t="s">
        <v>39</v>
      </c>
      <c r="D142" s="5">
        <v>20000</v>
      </c>
      <c r="E142">
        <v>0</v>
      </c>
      <c r="F142" t="s">
        <v>34</v>
      </c>
      <c r="G142" t="s">
        <v>28</v>
      </c>
      <c r="H142" t="s">
        <v>20</v>
      </c>
      <c r="I142">
        <v>0</v>
      </c>
      <c r="J142" t="s">
        <v>24</v>
      </c>
      <c r="K142" t="s">
        <v>35</v>
      </c>
      <c r="L142">
        <v>30</v>
      </c>
      <c r="M142" t="str">
        <f t="shared" si="2"/>
        <v>Adults</v>
      </c>
      <c r="N142" t="s">
        <v>17</v>
      </c>
    </row>
    <row r="143" spans="1:14">
      <c r="A143">
        <v>11282</v>
      </c>
      <c r="B143" t="s">
        <v>38</v>
      </c>
      <c r="C143" t="s">
        <v>39</v>
      </c>
      <c r="D143" s="5">
        <v>160000</v>
      </c>
      <c r="E143">
        <v>4</v>
      </c>
      <c r="F143" t="s">
        <v>42</v>
      </c>
      <c r="G143" t="s">
        <v>31</v>
      </c>
      <c r="H143" t="s">
        <v>17</v>
      </c>
      <c r="I143">
        <v>2</v>
      </c>
      <c r="J143" t="s">
        <v>24</v>
      </c>
      <c r="K143" t="s">
        <v>27</v>
      </c>
      <c r="L143">
        <v>49</v>
      </c>
      <c r="M143" t="str">
        <f t="shared" si="2"/>
        <v>Adults</v>
      </c>
      <c r="N143" t="s">
        <v>20</v>
      </c>
    </row>
    <row r="144" spans="1:14">
      <c r="A144">
        <v>21087</v>
      </c>
      <c r="B144" t="s">
        <v>38</v>
      </c>
      <c r="C144" t="s">
        <v>39</v>
      </c>
      <c r="D144" s="5">
        <v>60000</v>
      </c>
      <c r="E144">
        <v>4</v>
      </c>
      <c r="F144" t="s">
        <v>15</v>
      </c>
      <c r="G144" t="s">
        <v>23</v>
      </c>
      <c r="H144" t="s">
        <v>20</v>
      </c>
      <c r="I144">
        <v>2</v>
      </c>
      <c r="J144" t="s">
        <v>24</v>
      </c>
      <c r="K144" t="s">
        <v>35</v>
      </c>
      <c r="L144">
        <v>63</v>
      </c>
      <c r="M144" t="str">
        <f t="shared" si="2"/>
        <v>Old</v>
      </c>
      <c r="N144" t="s">
        <v>17</v>
      </c>
    </row>
    <row r="145" spans="1:14">
      <c r="A145">
        <v>20923</v>
      </c>
      <c r="B145" t="s">
        <v>38</v>
      </c>
      <c r="C145" t="s">
        <v>40</v>
      </c>
      <c r="D145" s="5">
        <v>110000</v>
      </c>
      <c r="E145">
        <v>5</v>
      </c>
      <c r="F145" t="s">
        <v>30</v>
      </c>
      <c r="G145" t="s">
        <v>23</v>
      </c>
      <c r="H145" t="s">
        <v>20</v>
      </c>
      <c r="I145">
        <v>1</v>
      </c>
      <c r="J145" t="s">
        <v>43</v>
      </c>
      <c r="K145" t="s">
        <v>35</v>
      </c>
      <c r="L145">
        <v>30</v>
      </c>
      <c r="M145" t="str">
        <f t="shared" si="2"/>
        <v>Adults</v>
      </c>
      <c r="N145" t="s">
        <v>20</v>
      </c>
    </row>
    <row r="146" spans="1:14">
      <c r="A146">
        <v>28314</v>
      </c>
      <c r="B146" t="s">
        <v>41</v>
      </c>
      <c r="C146" t="s">
        <v>39</v>
      </c>
      <c r="D146" s="5">
        <v>90000</v>
      </c>
      <c r="E146">
        <v>5</v>
      </c>
      <c r="F146" t="s">
        <v>21</v>
      </c>
      <c r="G146" t="s">
        <v>31</v>
      </c>
      <c r="H146" t="s">
        <v>20</v>
      </c>
      <c r="I146">
        <v>4</v>
      </c>
      <c r="J146" t="s">
        <v>24</v>
      </c>
      <c r="K146" t="s">
        <v>19</v>
      </c>
      <c r="L146">
        <v>48</v>
      </c>
      <c r="M146" t="str">
        <f t="shared" si="2"/>
        <v>Adults</v>
      </c>
      <c r="N146" t="s">
        <v>20</v>
      </c>
    </row>
    <row r="147" spans="1:14">
      <c r="A147">
        <v>15906</v>
      </c>
      <c r="B147" t="s">
        <v>38</v>
      </c>
      <c r="C147" t="s">
        <v>39</v>
      </c>
      <c r="D147" s="5">
        <v>20000</v>
      </c>
      <c r="E147">
        <v>1</v>
      </c>
      <c r="F147" t="s">
        <v>42</v>
      </c>
      <c r="G147" t="s">
        <v>22</v>
      </c>
      <c r="H147" t="s">
        <v>17</v>
      </c>
      <c r="I147">
        <v>0</v>
      </c>
      <c r="J147" t="s">
        <v>24</v>
      </c>
      <c r="K147" t="s">
        <v>19</v>
      </c>
      <c r="L147">
        <v>57</v>
      </c>
      <c r="M147" t="str">
        <f t="shared" si="2"/>
        <v>Old</v>
      </c>
      <c r="N147" t="s">
        <v>17</v>
      </c>
    </row>
    <row r="148" spans="1:14">
      <c r="A148">
        <v>21035</v>
      </c>
      <c r="B148" t="s">
        <v>38</v>
      </c>
      <c r="C148" t="s">
        <v>39</v>
      </c>
      <c r="D148" s="5">
        <v>20000</v>
      </c>
      <c r="E148">
        <v>5</v>
      </c>
      <c r="F148" t="s">
        <v>21</v>
      </c>
      <c r="G148" t="s">
        <v>22</v>
      </c>
      <c r="H148" t="s">
        <v>17</v>
      </c>
      <c r="I148">
        <v>3</v>
      </c>
      <c r="J148" t="s">
        <v>18</v>
      </c>
      <c r="K148" t="s">
        <v>27</v>
      </c>
      <c r="L148">
        <v>48</v>
      </c>
      <c r="M148" t="str">
        <f t="shared" si="2"/>
        <v>Adults</v>
      </c>
      <c r="N148" t="s">
        <v>17</v>
      </c>
    </row>
    <row r="149" spans="1:14">
      <c r="A149">
        <v>24555</v>
      </c>
      <c r="B149" t="s">
        <v>41</v>
      </c>
      <c r="C149" t="s">
        <v>39</v>
      </c>
      <c r="D149" s="5">
        <v>110000</v>
      </c>
      <c r="E149">
        <v>2</v>
      </c>
      <c r="F149" t="s">
        <v>21</v>
      </c>
      <c r="G149" t="s">
        <v>31</v>
      </c>
      <c r="H149" t="s">
        <v>20</v>
      </c>
      <c r="I149">
        <v>1</v>
      </c>
      <c r="J149" t="s">
        <v>24</v>
      </c>
      <c r="K149" t="s">
        <v>35</v>
      </c>
      <c r="L149">
        <v>61</v>
      </c>
      <c r="M149" t="str">
        <f t="shared" si="2"/>
        <v>Old</v>
      </c>
      <c r="N149" t="s">
        <v>20</v>
      </c>
    </row>
    <row r="150" spans="1:14">
      <c r="A150">
        <v>25128</v>
      </c>
      <c r="B150" t="s">
        <v>41</v>
      </c>
      <c r="C150" t="s">
        <v>39</v>
      </c>
      <c r="D150" s="5">
        <v>140000</v>
      </c>
      <c r="E150">
        <v>1</v>
      </c>
      <c r="F150" t="s">
        <v>34</v>
      </c>
      <c r="G150" t="s">
        <v>31</v>
      </c>
      <c r="H150" t="s">
        <v>17</v>
      </c>
      <c r="I150">
        <v>4</v>
      </c>
      <c r="J150" t="s">
        <v>29</v>
      </c>
      <c r="K150" t="s">
        <v>27</v>
      </c>
      <c r="L150">
        <v>28</v>
      </c>
      <c r="M150" t="str">
        <f t="shared" si="2"/>
        <v>Young</v>
      </c>
      <c r="N150" t="s">
        <v>20</v>
      </c>
    </row>
    <row r="151" spans="1:14">
      <c r="A151">
        <v>22163</v>
      </c>
      <c r="B151" t="s">
        <v>38</v>
      </c>
      <c r="C151" t="s">
        <v>40</v>
      </c>
      <c r="D151" s="5">
        <v>50000</v>
      </c>
      <c r="E151">
        <v>2</v>
      </c>
      <c r="F151" t="s">
        <v>30</v>
      </c>
      <c r="G151" t="s">
        <v>16</v>
      </c>
      <c r="H151" t="s">
        <v>20</v>
      </c>
      <c r="I151">
        <v>4</v>
      </c>
      <c r="J151" t="s">
        <v>29</v>
      </c>
      <c r="K151" t="s">
        <v>27</v>
      </c>
      <c r="L151">
        <v>30</v>
      </c>
      <c r="M151" t="str">
        <f t="shared" si="2"/>
        <v>Adults</v>
      </c>
      <c r="N151" t="s">
        <v>17</v>
      </c>
    </row>
    <row r="152" spans="1:14">
      <c r="A152">
        <v>24782</v>
      </c>
      <c r="B152" t="s">
        <v>41</v>
      </c>
      <c r="C152" t="s">
        <v>40</v>
      </c>
      <c r="D152" s="5">
        <v>70000</v>
      </c>
      <c r="E152">
        <v>4</v>
      </c>
      <c r="F152" t="s">
        <v>42</v>
      </c>
      <c r="G152" t="s">
        <v>16</v>
      </c>
      <c r="H152" t="s">
        <v>20</v>
      </c>
      <c r="I152">
        <v>1</v>
      </c>
      <c r="J152" t="s">
        <v>26</v>
      </c>
      <c r="K152" t="s">
        <v>19</v>
      </c>
      <c r="L152">
        <v>48</v>
      </c>
      <c r="M152" t="str">
        <f t="shared" si="2"/>
        <v>Adults</v>
      </c>
      <c r="N152" t="s">
        <v>17</v>
      </c>
    </row>
    <row r="153" spans="1:14">
      <c r="A153">
        <v>10923</v>
      </c>
      <c r="B153" t="s">
        <v>41</v>
      </c>
      <c r="C153" t="s">
        <v>40</v>
      </c>
      <c r="D153" s="5">
        <v>20000</v>
      </c>
      <c r="E153">
        <v>0</v>
      </c>
      <c r="F153" t="s">
        <v>30</v>
      </c>
      <c r="G153" t="s">
        <v>22</v>
      </c>
      <c r="H153" t="s">
        <v>20</v>
      </c>
      <c r="I153">
        <v>3</v>
      </c>
      <c r="J153" t="s">
        <v>29</v>
      </c>
      <c r="K153" t="s">
        <v>35</v>
      </c>
      <c r="L153">
        <v>55</v>
      </c>
      <c r="M153" t="str">
        <f t="shared" si="2"/>
        <v>Adults</v>
      </c>
      <c r="N153" t="s">
        <v>20</v>
      </c>
    </row>
    <row r="154" spans="1:14">
      <c r="A154">
        <v>10172</v>
      </c>
      <c r="B154" t="s">
        <v>38</v>
      </c>
      <c r="C154" t="s">
        <v>40</v>
      </c>
      <c r="D154" s="5">
        <v>20000</v>
      </c>
      <c r="E154">
        <v>4</v>
      </c>
      <c r="F154" t="s">
        <v>30</v>
      </c>
      <c r="G154" t="s">
        <v>22</v>
      </c>
      <c r="H154" t="s">
        <v>20</v>
      </c>
      <c r="I154">
        <v>0</v>
      </c>
      <c r="J154" t="s">
        <v>24</v>
      </c>
      <c r="K154" t="s">
        <v>19</v>
      </c>
      <c r="L154">
        <v>44</v>
      </c>
      <c r="M154" t="str">
        <f t="shared" si="2"/>
        <v>Adults</v>
      </c>
      <c r="N154" t="s">
        <v>17</v>
      </c>
    </row>
    <row r="155" spans="1:14">
      <c r="A155">
        <v>11564</v>
      </c>
      <c r="B155" t="s">
        <v>38</v>
      </c>
      <c r="C155" t="s">
        <v>39</v>
      </c>
      <c r="D155" s="5">
        <v>10000</v>
      </c>
      <c r="E155">
        <v>0</v>
      </c>
      <c r="F155" t="s">
        <v>34</v>
      </c>
      <c r="G155" t="s">
        <v>28</v>
      </c>
      <c r="H155" t="s">
        <v>20</v>
      </c>
      <c r="I155">
        <v>4</v>
      </c>
      <c r="J155" t="s">
        <v>43</v>
      </c>
      <c r="K155" t="s">
        <v>19</v>
      </c>
      <c r="L155">
        <v>65</v>
      </c>
      <c r="M155" t="str">
        <f t="shared" si="2"/>
        <v>Old</v>
      </c>
      <c r="N155" t="s">
        <v>17</v>
      </c>
    </row>
    <row r="156" spans="1:14">
      <c r="A156">
        <v>14704</v>
      </c>
      <c r="B156" t="s">
        <v>41</v>
      </c>
      <c r="C156" t="s">
        <v>39</v>
      </c>
      <c r="D156" s="5">
        <v>130000</v>
      </c>
      <c r="E156">
        <v>1</v>
      </c>
      <c r="F156" t="s">
        <v>15</v>
      </c>
      <c r="G156" t="s">
        <v>31</v>
      </c>
      <c r="H156" t="s">
        <v>20</v>
      </c>
      <c r="I156">
        <v>1</v>
      </c>
      <c r="J156" t="s">
        <v>18</v>
      </c>
      <c r="K156" t="s">
        <v>35</v>
      </c>
      <c r="L156">
        <v>48</v>
      </c>
      <c r="M156" t="str">
        <f t="shared" si="2"/>
        <v>Adults</v>
      </c>
      <c r="N156" t="s">
        <v>17</v>
      </c>
    </row>
    <row r="157" spans="1:14">
      <c r="A157">
        <v>27237</v>
      </c>
      <c r="B157" t="s">
        <v>38</v>
      </c>
      <c r="C157" t="s">
        <v>39</v>
      </c>
      <c r="D157" s="5">
        <v>70000</v>
      </c>
      <c r="E157">
        <v>2</v>
      </c>
      <c r="F157" t="s">
        <v>42</v>
      </c>
      <c r="G157" t="s">
        <v>16</v>
      </c>
      <c r="H157" t="s">
        <v>20</v>
      </c>
      <c r="I157">
        <v>0</v>
      </c>
      <c r="J157" t="s">
        <v>24</v>
      </c>
      <c r="K157" t="s">
        <v>19</v>
      </c>
      <c r="L157">
        <v>47</v>
      </c>
      <c r="M157" t="str">
        <f t="shared" si="2"/>
        <v>Adults</v>
      </c>
      <c r="N157" t="s">
        <v>17</v>
      </c>
    </row>
    <row r="158" spans="1:14">
      <c r="A158">
        <v>13396</v>
      </c>
      <c r="B158" t="s">
        <v>41</v>
      </c>
      <c r="C158" t="s">
        <v>40</v>
      </c>
      <c r="D158" s="5">
        <v>100000</v>
      </c>
      <c r="E158">
        <v>2</v>
      </c>
      <c r="F158" t="s">
        <v>15</v>
      </c>
      <c r="G158" t="s">
        <v>23</v>
      </c>
      <c r="H158" t="s">
        <v>17</v>
      </c>
      <c r="I158">
        <v>3</v>
      </c>
      <c r="J158" t="s">
        <v>26</v>
      </c>
      <c r="K158" t="s">
        <v>35</v>
      </c>
      <c r="L158">
        <v>36</v>
      </c>
      <c r="M158" t="str">
        <f t="shared" si="2"/>
        <v>Adults</v>
      </c>
      <c r="N158" t="s">
        <v>17</v>
      </c>
    </row>
    <row r="159" spans="1:14">
      <c r="A159">
        <v>12067</v>
      </c>
      <c r="B159" t="s">
        <v>41</v>
      </c>
      <c r="C159" t="s">
        <v>40</v>
      </c>
      <c r="D159" s="5">
        <v>10000</v>
      </c>
      <c r="E159">
        <v>1</v>
      </c>
      <c r="F159" t="s">
        <v>30</v>
      </c>
      <c r="G159" t="s">
        <v>22</v>
      </c>
      <c r="H159" t="s">
        <v>17</v>
      </c>
      <c r="I159">
        <v>2</v>
      </c>
      <c r="J159" t="s">
        <v>24</v>
      </c>
      <c r="K159" t="s">
        <v>35</v>
      </c>
      <c r="L159">
        <v>50</v>
      </c>
      <c r="M159" t="str">
        <f t="shared" si="2"/>
        <v>Adults</v>
      </c>
      <c r="N159" t="s">
        <v>20</v>
      </c>
    </row>
    <row r="160" spans="1:14">
      <c r="A160">
        <v>18300</v>
      </c>
      <c r="B160" t="s">
        <v>38</v>
      </c>
      <c r="C160" t="s">
        <v>40</v>
      </c>
      <c r="D160" s="5">
        <v>120000</v>
      </c>
      <c r="E160">
        <v>0</v>
      </c>
      <c r="F160" t="s">
        <v>30</v>
      </c>
      <c r="G160" t="s">
        <v>23</v>
      </c>
      <c r="H160" t="s">
        <v>20</v>
      </c>
      <c r="I160">
        <v>2</v>
      </c>
      <c r="J160" t="s">
        <v>18</v>
      </c>
      <c r="K160" t="s">
        <v>27</v>
      </c>
      <c r="L160">
        <v>52</v>
      </c>
      <c r="M160" t="str">
        <f t="shared" si="2"/>
        <v>Adults</v>
      </c>
      <c r="N160" t="s">
        <v>20</v>
      </c>
    </row>
    <row r="161" spans="1:14">
      <c r="A161">
        <v>24409</v>
      </c>
      <c r="B161" t="s">
        <v>41</v>
      </c>
      <c r="C161" t="s">
        <v>39</v>
      </c>
      <c r="D161" s="5">
        <v>40000</v>
      </c>
      <c r="E161">
        <v>2</v>
      </c>
      <c r="F161" t="s">
        <v>21</v>
      </c>
      <c r="G161" t="s">
        <v>28</v>
      </c>
      <c r="H161" t="s">
        <v>20</v>
      </c>
      <c r="I161">
        <v>0</v>
      </c>
      <c r="J161" t="s">
        <v>26</v>
      </c>
      <c r="K161" t="s">
        <v>19</v>
      </c>
      <c r="L161">
        <v>52</v>
      </c>
      <c r="M161" t="str">
        <f t="shared" si="2"/>
        <v>Adults</v>
      </c>
      <c r="N161" t="s">
        <v>17</v>
      </c>
    </row>
    <row r="162" spans="1:14">
      <c r="A162">
        <v>27874</v>
      </c>
      <c r="B162" t="s">
        <v>41</v>
      </c>
      <c r="C162" t="s">
        <v>39</v>
      </c>
      <c r="D162" s="5">
        <v>60000</v>
      </c>
      <c r="E162">
        <v>5</v>
      </c>
      <c r="F162" t="s">
        <v>15</v>
      </c>
      <c r="G162" t="s">
        <v>16</v>
      </c>
      <c r="H162" t="s">
        <v>20</v>
      </c>
      <c r="I162">
        <v>2</v>
      </c>
      <c r="J162" t="s">
        <v>26</v>
      </c>
      <c r="K162" t="s">
        <v>35</v>
      </c>
      <c r="L162">
        <v>52</v>
      </c>
      <c r="M162" t="str">
        <f t="shared" si="2"/>
        <v>Adults</v>
      </c>
      <c r="N162" t="s">
        <v>17</v>
      </c>
    </row>
    <row r="163" spans="1:14">
      <c r="A163">
        <v>24545</v>
      </c>
      <c r="B163" t="s">
        <v>41</v>
      </c>
      <c r="C163" t="s">
        <v>39</v>
      </c>
      <c r="D163" s="5">
        <v>100000</v>
      </c>
      <c r="E163">
        <v>3</v>
      </c>
      <c r="F163" t="s">
        <v>15</v>
      </c>
      <c r="G163" t="s">
        <v>23</v>
      </c>
      <c r="H163" t="s">
        <v>20</v>
      </c>
      <c r="I163">
        <v>0</v>
      </c>
      <c r="J163" t="s">
        <v>18</v>
      </c>
      <c r="K163" t="s">
        <v>35</v>
      </c>
      <c r="L163">
        <v>65</v>
      </c>
      <c r="M163" t="str">
        <f t="shared" si="2"/>
        <v>Old</v>
      </c>
      <c r="N163" t="s">
        <v>20</v>
      </c>
    </row>
    <row r="164" spans="1:14">
      <c r="A164">
        <v>21904</v>
      </c>
      <c r="B164" t="s">
        <v>38</v>
      </c>
      <c r="C164" t="s">
        <v>40</v>
      </c>
      <c r="D164" s="5">
        <v>150000</v>
      </c>
      <c r="E164">
        <v>0</v>
      </c>
      <c r="F164" t="s">
        <v>21</v>
      </c>
      <c r="G164" t="s">
        <v>31</v>
      </c>
      <c r="H164" t="s">
        <v>17</v>
      </c>
      <c r="I164">
        <v>0</v>
      </c>
      <c r="J164" t="s">
        <v>29</v>
      </c>
      <c r="K164" t="s">
        <v>35</v>
      </c>
      <c r="L164">
        <v>48</v>
      </c>
      <c r="M164" t="str">
        <f t="shared" si="2"/>
        <v>Adults</v>
      </c>
      <c r="N164" t="s">
        <v>20</v>
      </c>
    </row>
    <row r="165" spans="1:14">
      <c r="A165">
        <v>22545</v>
      </c>
      <c r="B165" t="s">
        <v>38</v>
      </c>
      <c r="C165" t="s">
        <v>40</v>
      </c>
      <c r="D165" s="5">
        <v>80000</v>
      </c>
      <c r="E165">
        <v>3</v>
      </c>
      <c r="F165" t="s">
        <v>42</v>
      </c>
      <c r="G165" t="s">
        <v>23</v>
      </c>
      <c r="H165" t="s">
        <v>17</v>
      </c>
      <c r="I165">
        <v>4</v>
      </c>
      <c r="J165" t="s">
        <v>29</v>
      </c>
      <c r="K165" t="s">
        <v>35</v>
      </c>
      <c r="L165">
        <v>48</v>
      </c>
      <c r="M165" t="str">
        <f t="shared" si="2"/>
        <v>Adults</v>
      </c>
      <c r="N165" t="s">
        <v>20</v>
      </c>
    </row>
    <row r="166" spans="1:14">
      <c r="A166">
        <v>20301</v>
      </c>
      <c r="B166" t="s">
        <v>41</v>
      </c>
      <c r="C166" t="s">
        <v>40</v>
      </c>
      <c r="D166" s="5">
        <v>50000</v>
      </c>
      <c r="E166">
        <v>3</v>
      </c>
      <c r="F166" t="s">
        <v>15</v>
      </c>
      <c r="G166" t="s">
        <v>16</v>
      </c>
      <c r="H166" t="s">
        <v>20</v>
      </c>
      <c r="I166">
        <v>4</v>
      </c>
      <c r="J166" t="s">
        <v>18</v>
      </c>
      <c r="K166" t="s">
        <v>27</v>
      </c>
      <c r="L166">
        <v>41</v>
      </c>
      <c r="M166" t="str">
        <f t="shared" si="2"/>
        <v>Adults</v>
      </c>
      <c r="N166" t="s">
        <v>20</v>
      </c>
    </row>
    <row r="167" spans="1:14">
      <c r="A167">
        <v>17031</v>
      </c>
      <c r="B167" t="s">
        <v>41</v>
      </c>
      <c r="C167" t="s">
        <v>39</v>
      </c>
      <c r="D167" s="5">
        <v>50000</v>
      </c>
      <c r="E167">
        <v>0</v>
      </c>
      <c r="F167" t="s">
        <v>21</v>
      </c>
      <c r="G167" t="s">
        <v>16</v>
      </c>
      <c r="H167" t="s">
        <v>20</v>
      </c>
      <c r="I167">
        <v>1</v>
      </c>
      <c r="J167" t="s">
        <v>26</v>
      </c>
      <c r="K167" t="s">
        <v>19</v>
      </c>
      <c r="L167">
        <v>45</v>
      </c>
      <c r="M167" t="str">
        <f t="shared" si="2"/>
        <v>Adults</v>
      </c>
      <c r="N167" t="s">
        <v>20</v>
      </c>
    </row>
    <row r="168" spans="1:14">
      <c r="A168">
        <v>12127</v>
      </c>
      <c r="B168" t="s">
        <v>41</v>
      </c>
      <c r="C168" t="s">
        <v>39</v>
      </c>
      <c r="D168" s="5">
        <v>30000</v>
      </c>
      <c r="E168">
        <v>4</v>
      </c>
      <c r="F168" t="s">
        <v>21</v>
      </c>
      <c r="G168" t="s">
        <v>22</v>
      </c>
      <c r="H168" t="s">
        <v>17</v>
      </c>
      <c r="I168">
        <v>0</v>
      </c>
      <c r="J168" t="s">
        <v>29</v>
      </c>
      <c r="K168" t="s">
        <v>19</v>
      </c>
      <c r="L168">
        <v>40</v>
      </c>
      <c r="M168" t="str">
        <f t="shared" si="2"/>
        <v>Adults</v>
      </c>
      <c r="N168" t="s">
        <v>20</v>
      </c>
    </row>
    <row r="169" spans="1:14">
      <c r="A169">
        <v>10861</v>
      </c>
      <c r="B169" t="s">
        <v>41</v>
      </c>
      <c r="C169" t="s">
        <v>39</v>
      </c>
      <c r="D169" s="5">
        <v>100000</v>
      </c>
      <c r="E169">
        <v>4</v>
      </c>
      <c r="F169" t="s">
        <v>42</v>
      </c>
      <c r="G169" t="s">
        <v>31</v>
      </c>
      <c r="H169" t="s">
        <v>17</v>
      </c>
      <c r="I169">
        <v>0</v>
      </c>
      <c r="J169" t="s">
        <v>24</v>
      </c>
      <c r="K169" t="s">
        <v>27</v>
      </c>
      <c r="L169">
        <v>55</v>
      </c>
      <c r="M169" t="str">
        <f t="shared" si="2"/>
        <v>Adults</v>
      </c>
      <c r="N169" t="s">
        <v>20</v>
      </c>
    </row>
    <row r="170" spans="1:14">
      <c r="A170">
        <v>23416</v>
      </c>
      <c r="B170" t="s">
        <v>38</v>
      </c>
      <c r="C170" t="s">
        <v>40</v>
      </c>
      <c r="D170" s="5">
        <v>70000</v>
      </c>
      <c r="E170">
        <v>3</v>
      </c>
      <c r="F170" t="s">
        <v>30</v>
      </c>
      <c r="G170" t="s">
        <v>16</v>
      </c>
      <c r="H170" t="s">
        <v>20</v>
      </c>
      <c r="I170">
        <v>1</v>
      </c>
      <c r="J170" t="s">
        <v>43</v>
      </c>
      <c r="K170" t="s">
        <v>35</v>
      </c>
      <c r="L170">
        <v>62</v>
      </c>
      <c r="M170" t="str">
        <f t="shared" si="2"/>
        <v>Old</v>
      </c>
      <c r="N170" t="s">
        <v>17</v>
      </c>
    </row>
    <row r="171" spans="1:14">
      <c r="A171">
        <v>14228</v>
      </c>
      <c r="B171" t="s">
        <v>41</v>
      </c>
      <c r="C171" t="s">
        <v>40</v>
      </c>
      <c r="D171" s="5">
        <v>100000</v>
      </c>
      <c r="E171">
        <v>2</v>
      </c>
      <c r="F171" t="s">
        <v>15</v>
      </c>
      <c r="G171" t="s">
        <v>31</v>
      </c>
      <c r="H171" t="s">
        <v>17</v>
      </c>
      <c r="I171">
        <v>1</v>
      </c>
      <c r="J171" t="s">
        <v>24</v>
      </c>
      <c r="K171" t="s">
        <v>35</v>
      </c>
      <c r="L171">
        <v>39</v>
      </c>
      <c r="M171" t="str">
        <f t="shared" si="2"/>
        <v>Adults</v>
      </c>
      <c r="N171" t="s">
        <v>20</v>
      </c>
    </row>
    <row r="172" spans="1:14">
      <c r="A172">
        <v>27003</v>
      </c>
      <c r="B172" t="s">
        <v>41</v>
      </c>
      <c r="C172" t="s">
        <v>40</v>
      </c>
      <c r="D172" s="5">
        <v>30000</v>
      </c>
      <c r="E172">
        <v>1</v>
      </c>
      <c r="F172" t="s">
        <v>30</v>
      </c>
      <c r="G172" t="s">
        <v>22</v>
      </c>
      <c r="H172" t="s">
        <v>20</v>
      </c>
      <c r="I172">
        <v>4</v>
      </c>
      <c r="J172" t="s">
        <v>43</v>
      </c>
      <c r="K172" t="s">
        <v>19</v>
      </c>
      <c r="L172">
        <v>57</v>
      </c>
      <c r="M172" t="str">
        <f t="shared" si="2"/>
        <v>Old</v>
      </c>
      <c r="N172" t="s">
        <v>17</v>
      </c>
    </row>
    <row r="173" spans="1:14">
      <c r="A173">
        <v>29392</v>
      </c>
      <c r="B173" t="s">
        <v>38</v>
      </c>
      <c r="C173" t="s">
        <v>40</v>
      </c>
      <c r="D173" s="5">
        <v>130000</v>
      </c>
      <c r="E173">
        <v>4</v>
      </c>
      <c r="F173" t="s">
        <v>34</v>
      </c>
      <c r="G173" t="s">
        <v>31</v>
      </c>
      <c r="H173" t="s">
        <v>17</v>
      </c>
      <c r="I173">
        <v>0</v>
      </c>
      <c r="J173" t="s">
        <v>18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16907</v>
      </c>
      <c r="B174" t="s">
        <v>41</v>
      </c>
      <c r="C174" t="s">
        <v>40</v>
      </c>
      <c r="D174" s="5">
        <v>120000</v>
      </c>
      <c r="E174">
        <v>5</v>
      </c>
      <c r="F174" t="s">
        <v>42</v>
      </c>
      <c r="G174" t="s">
        <v>31</v>
      </c>
      <c r="H174" t="s">
        <v>20</v>
      </c>
      <c r="I174">
        <v>3</v>
      </c>
      <c r="J174" t="s">
        <v>29</v>
      </c>
      <c r="K174" t="s">
        <v>35</v>
      </c>
      <c r="L174">
        <v>50</v>
      </c>
      <c r="M174" t="str">
        <f t="shared" si="2"/>
        <v>Adults</v>
      </c>
      <c r="N174" t="s">
        <v>20</v>
      </c>
    </row>
    <row r="175" spans="1:14">
      <c r="A175">
        <v>24861</v>
      </c>
      <c r="B175" t="s">
        <v>38</v>
      </c>
      <c r="C175" t="s">
        <v>40</v>
      </c>
      <c r="D175" s="5">
        <v>40000</v>
      </c>
      <c r="E175">
        <v>3</v>
      </c>
      <c r="F175" t="s">
        <v>21</v>
      </c>
      <c r="G175" t="s">
        <v>28</v>
      </c>
      <c r="H175" t="s">
        <v>20</v>
      </c>
      <c r="I175">
        <v>1</v>
      </c>
      <c r="J175" t="s">
        <v>24</v>
      </c>
      <c r="K175" t="s">
        <v>35</v>
      </c>
      <c r="L175">
        <v>34</v>
      </c>
      <c r="M175" t="str">
        <f t="shared" si="2"/>
        <v>Adults</v>
      </c>
      <c r="N175" t="s">
        <v>20</v>
      </c>
    </row>
    <row r="176" spans="1:14">
      <c r="A176">
        <v>20463</v>
      </c>
      <c r="B176" t="s">
        <v>41</v>
      </c>
      <c r="C176" t="s">
        <v>39</v>
      </c>
      <c r="D176" s="5">
        <v>100000</v>
      </c>
      <c r="E176">
        <v>4</v>
      </c>
      <c r="F176" t="s">
        <v>21</v>
      </c>
      <c r="G176" t="s">
        <v>23</v>
      </c>
      <c r="H176" t="s">
        <v>17</v>
      </c>
      <c r="I176">
        <v>2</v>
      </c>
      <c r="J176" t="s">
        <v>29</v>
      </c>
      <c r="K176" t="s">
        <v>27</v>
      </c>
      <c r="L176">
        <v>32</v>
      </c>
      <c r="M176" t="str">
        <f t="shared" si="2"/>
        <v>Adults</v>
      </c>
      <c r="N176" t="s">
        <v>20</v>
      </c>
    </row>
    <row r="177" spans="1:14">
      <c r="A177">
        <v>24732</v>
      </c>
      <c r="B177" t="s">
        <v>38</v>
      </c>
      <c r="C177" t="s">
        <v>40</v>
      </c>
      <c r="D177" s="5">
        <v>60000</v>
      </c>
      <c r="E177">
        <v>3</v>
      </c>
      <c r="F177" t="s">
        <v>15</v>
      </c>
      <c r="G177" t="s">
        <v>16</v>
      </c>
      <c r="H177" t="s">
        <v>20</v>
      </c>
      <c r="I177">
        <v>1</v>
      </c>
      <c r="J177" t="s">
        <v>29</v>
      </c>
      <c r="K177" t="s">
        <v>27</v>
      </c>
      <c r="L177">
        <v>61</v>
      </c>
      <c r="M177" t="str">
        <f t="shared" si="2"/>
        <v>Old</v>
      </c>
      <c r="N177" t="s">
        <v>20</v>
      </c>
    </row>
    <row r="178" spans="1:14">
      <c r="A178">
        <v>16220</v>
      </c>
      <c r="B178" t="s">
        <v>38</v>
      </c>
      <c r="C178" t="s">
        <v>39</v>
      </c>
      <c r="D178" s="5">
        <v>40000</v>
      </c>
      <c r="E178">
        <v>2</v>
      </c>
      <c r="F178" t="s">
        <v>34</v>
      </c>
      <c r="G178" t="s">
        <v>28</v>
      </c>
      <c r="H178" t="s">
        <v>20</v>
      </c>
      <c r="I178">
        <v>0</v>
      </c>
      <c r="J178" t="s">
        <v>18</v>
      </c>
      <c r="K178" t="s">
        <v>27</v>
      </c>
      <c r="L178">
        <v>57</v>
      </c>
      <c r="M178" t="str">
        <f t="shared" si="2"/>
        <v>Old</v>
      </c>
      <c r="N178" t="s">
        <v>20</v>
      </c>
    </row>
    <row r="179" spans="1:14">
      <c r="A179">
        <v>17888</v>
      </c>
      <c r="B179" t="s">
        <v>38</v>
      </c>
      <c r="C179" t="s">
        <v>39</v>
      </c>
      <c r="D179" s="5">
        <v>60000</v>
      </c>
      <c r="E179">
        <v>3</v>
      </c>
      <c r="F179" t="s">
        <v>15</v>
      </c>
      <c r="G179" t="s">
        <v>16</v>
      </c>
      <c r="H179" t="s">
        <v>20</v>
      </c>
      <c r="I179">
        <v>2</v>
      </c>
      <c r="J179" t="s">
        <v>43</v>
      </c>
      <c r="K179" t="s">
        <v>19</v>
      </c>
      <c r="L179">
        <v>31</v>
      </c>
      <c r="M179" t="str">
        <f t="shared" si="2"/>
        <v>Adults</v>
      </c>
      <c r="N179" t="s">
        <v>20</v>
      </c>
    </row>
    <row r="180" spans="1:14">
      <c r="A180">
        <v>14388</v>
      </c>
      <c r="B180" t="s">
        <v>41</v>
      </c>
      <c r="C180" t="s">
        <v>39</v>
      </c>
      <c r="D180" s="5">
        <v>60000</v>
      </c>
      <c r="E180">
        <v>3</v>
      </c>
      <c r="F180" t="s">
        <v>42</v>
      </c>
      <c r="G180" t="s">
        <v>23</v>
      </c>
      <c r="H180" t="s">
        <v>17</v>
      </c>
      <c r="I180">
        <v>4</v>
      </c>
      <c r="J180" t="s">
        <v>43</v>
      </c>
      <c r="K180" t="s">
        <v>19</v>
      </c>
      <c r="L180">
        <v>48</v>
      </c>
      <c r="M180" t="str">
        <f t="shared" si="2"/>
        <v>Adults</v>
      </c>
      <c r="N180" t="s">
        <v>20</v>
      </c>
    </row>
    <row r="181" spans="1:14">
      <c r="A181">
        <v>12409</v>
      </c>
      <c r="B181" t="s">
        <v>41</v>
      </c>
      <c r="C181" t="s">
        <v>39</v>
      </c>
      <c r="D181" s="5">
        <v>120000</v>
      </c>
      <c r="E181">
        <v>4</v>
      </c>
      <c r="F181" t="s">
        <v>34</v>
      </c>
      <c r="G181" t="s">
        <v>23</v>
      </c>
      <c r="H181" t="s">
        <v>17</v>
      </c>
      <c r="I181">
        <v>1</v>
      </c>
      <c r="J181" t="s">
        <v>18</v>
      </c>
      <c r="K181" t="s">
        <v>27</v>
      </c>
      <c r="L181">
        <v>48</v>
      </c>
      <c r="M181" t="str">
        <f t="shared" si="2"/>
        <v>Adults</v>
      </c>
      <c r="N181" t="s">
        <v>20</v>
      </c>
    </row>
    <row r="182" spans="1:14">
      <c r="A182">
        <v>28279</v>
      </c>
      <c r="B182" t="s">
        <v>41</v>
      </c>
      <c r="C182" t="s">
        <v>40</v>
      </c>
      <c r="D182" s="5">
        <v>160000</v>
      </c>
      <c r="E182">
        <v>3</v>
      </c>
      <c r="F182" t="s">
        <v>21</v>
      </c>
      <c r="G182" t="s">
        <v>31</v>
      </c>
      <c r="H182" t="s">
        <v>17</v>
      </c>
      <c r="I182">
        <v>0</v>
      </c>
      <c r="J182" t="s">
        <v>18</v>
      </c>
      <c r="K182" t="s">
        <v>19</v>
      </c>
      <c r="L182">
        <v>46</v>
      </c>
      <c r="M182" t="str">
        <f t="shared" si="2"/>
        <v>Adults</v>
      </c>
      <c r="N182" t="s">
        <v>20</v>
      </c>
    </row>
    <row r="183" spans="1:14">
      <c r="A183">
        <v>27017</v>
      </c>
      <c r="B183" t="s">
        <v>41</v>
      </c>
      <c r="C183" t="s">
        <v>40</v>
      </c>
      <c r="D183" s="5">
        <v>100000</v>
      </c>
      <c r="E183">
        <v>2</v>
      </c>
      <c r="F183" t="s">
        <v>34</v>
      </c>
      <c r="G183" t="s">
        <v>31</v>
      </c>
      <c r="H183" t="s">
        <v>20</v>
      </c>
      <c r="I183">
        <v>1</v>
      </c>
      <c r="J183" t="s">
        <v>26</v>
      </c>
      <c r="K183" t="s">
        <v>35</v>
      </c>
      <c r="L183">
        <v>44</v>
      </c>
      <c r="M183" t="str">
        <f t="shared" si="2"/>
        <v>Adults</v>
      </c>
      <c r="N183" t="s">
        <v>20</v>
      </c>
    </row>
    <row r="184" spans="1:14">
      <c r="A184">
        <v>26623</v>
      </c>
      <c r="B184" t="s">
        <v>41</v>
      </c>
      <c r="C184" t="s">
        <v>39</v>
      </c>
      <c r="D184" s="5">
        <v>60000</v>
      </c>
      <c r="E184">
        <v>2</v>
      </c>
      <c r="F184" t="s">
        <v>42</v>
      </c>
      <c r="G184" t="s">
        <v>16</v>
      </c>
      <c r="H184" t="s">
        <v>17</v>
      </c>
      <c r="I184">
        <v>3</v>
      </c>
      <c r="J184" t="s">
        <v>43</v>
      </c>
      <c r="K184" t="s">
        <v>27</v>
      </c>
      <c r="L184">
        <v>65</v>
      </c>
      <c r="M184" t="str">
        <f t="shared" si="2"/>
        <v>Old</v>
      </c>
      <c r="N184" t="s">
        <v>17</v>
      </c>
    </row>
    <row r="185" spans="1:14">
      <c r="A185">
        <v>29559</v>
      </c>
      <c r="B185" t="s">
        <v>41</v>
      </c>
      <c r="C185" t="s">
        <v>39</v>
      </c>
      <c r="D185" s="5">
        <v>110000</v>
      </c>
      <c r="E185">
        <v>5</v>
      </c>
      <c r="F185" t="s">
        <v>34</v>
      </c>
      <c r="G185" t="s">
        <v>31</v>
      </c>
      <c r="H185" t="s">
        <v>17</v>
      </c>
      <c r="I185">
        <v>4</v>
      </c>
      <c r="J185" t="s">
        <v>26</v>
      </c>
      <c r="K185" t="s">
        <v>19</v>
      </c>
      <c r="L185">
        <v>58</v>
      </c>
      <c r="M185" t="str">
        <f t="shared" si="2"/>
        <v>Old</v>
      </c>
      <c r="N185" t="s">
        <v>20</v>
      </c>
    </row>
    <row r="186" spans="1:14">
      <c r="A186">
        <v>14842</v>
      </c>
      <c r="B186" t="s">
        <v>38</v>
      </c>
      <c r="C186" t="s">
        <v>40</v>
      </c>
      <c r="D186" s="5">
        <v>50000</v>
      </c>
      <c r="E186">
        <v>0</v>
      </c>
      <c r="F186" t="s">
        <v>34</v>
      </c>
      <c r="G186" t="s">
        <v>16</v>
      </c>
      <c r="H186" t="s">
        <v>20</v>
      </c>
      <c r="I186">
        <v>2</v>
      </c>
      <c r="J186" t="s">
        <v>26</v>
      </c>
      <c r="K186" t="s">
        <v>19</v>
      </c>
      <c r="L186">
        <v>51</v>
      </c>
      <c r="M186" t="str">
        <f t="shared" si="2"/>
        <v>Adults</v>
      </c>
      <c r="N186" t="s">
        <v>17</v>
      </c>
    </row>
    <row r="187" spans="1:14">
      <c r="A187">
        <v>23447</v>
      </c>
      <c r="B187" t="s">
        <v>41</v>
      </c>
      <c r="C187" t="s">
        <v>40</v>
      </c>
      <c r="D187" s="5">
        <v>110000</v>
      </c>
      <c r="E187">
        <v>4</v>
      </c>
      <c r="F187" t="s">
        <v>21</v>
      </c>
      <c r="G187" t="s">
        <v>31</v>
      </c>
      <c r="H187" t="s">
        <v>20</v>
      </c>
      <c r="I187">
        <v>3</v>
      </c>
      <c r="J187" t="s">
        <v>43</v>
      </c>
      <c r="K187" t="s">
        <v>27</v>
      </c>
      <c r="L187">
        <v>45</v>
      </c>
      <c r="M187" t="str">
        <f t="shared" si="2"/>
        <v>Adults</v>
      </c>
      <c r="N187" t="s">
        <v>17</v>
      </c>
    </row>
    <row r="188" spans="1:14">
      <c r="A188">
        <v>25062</v>
      </c>
      <c r="B188" t="s">
        <v>41</v>
      </c>
      <c r="C188" t="s">
        <v>39</v>
      </c>
      <c r="D188" s="5">
        <v>150000</v>
      </c>
      <c r="E188">
        <v>1</v>
      </c>
      <c r="F188" t="s">
        <v>30</v>
      </c>
      <c r="G188" t="s">
        <v>31</v>
      </c>
      <c r="H188" t="s">
        <v>17</v>
      </c>
      <c r="I188">
        <v>2</v>
      </c>
      <c r="J188" t="s">
        <v>43</v>
      </c>
      <c r="K188" t="s">
        <v>27</v>
      </c>
      <c r="L188">
        <v>39</v>
      </c>
      <c r="M188" t="str">
        <f t="shared" si="2"/>
        <v>Adults</v>
      </c>
      <c r="N188" t="s">
        <v>20</v>
      </c>
    </row>
    <row r="189" spans="1:14">
      <c r="A189">
        <v>19470</v>
      </c>
      <c r="B189" t="s">
        <v>38</v>
      </c>
      <c r="C189" t="s">
        <v>39</v>
      </c>
      <c r="D189" s="5">
        <v>30000</v>
      </c>
      <c r="E189">
        <v>4</v>
      </c>
      <c r="F189" t="s">
        <v>30</v>
      </c>
      <c r="G189" t="s">
        <v>28</v>
      </c>
      <c r="H189" t="s">
        <v>20</v>
      </c>
      <c r="I189">
        <v>2</v>
      </c>
      <c r="J189" t="s">
        <v>18</v>
      </c>
      <c r="K189" t="s">
        <v>35</v>
      </c>
      <c r="L189">
        <v>59</v>
      </c>
      <c r="M189" t="str">
        <f t="shared" si="2"/>
        <v>Old</v>
      </c>
      <c r="N189" t="s">
        <v>20</v>
      </c>
    </row>
    <row r="190" spans="1:14">
      <c r="A190">
        <v>22928</v>
      </c>
      <c r="B190" t="s">
        <v>41</v>
      </c>
      <c r="C190" t="s">
        <v>40</v>
      </c>
      <c r="D190" s="5">
        <v>60000</v>
      </c>
      <c r="E190">
        <v>5</v>
      </c>
      <c r="F190" t="s">
        <v>30</v>
      </c>
      <c r="G190" t="s">
        <v>16</v>
      </c>
      <c r="H190" t="s">
        <v>17</v>
      </c>
      <c r="I190">
        <v>2</v>
      </c>
      <c r="J190" t="s">
        <v>26</v>
      </c>
      <c r="K190" t="s">
        <v>35</v>
      </c>
      <c r="L190">
        <v>41</v>
      </c>
      <c r="M190" t="str">
        <f t="shared" si="2"/>
        <v>Adults</v>
      </c>
      <c r="N190" t="s">
        <v>20</v>
      </c>
    </row>
    <row r="191" spans="1:14">
      <c r="A191">
        <v>17011</v>
      </c>
      <c r="B191" t="s">
        <v>38</v>
      </c>
      <c r="C191" t="s">
        <v>39</v>
      </c>
      <c r="D191" s="5">
        <v>70000</v>
      </c>
      <c r="E191">
        <v>0</v>
      </c>
      <c r="F191" t="s">
        <v>34</v>
      </c>
      <c r="G191" t="s">
        <v>23</v>
      </c>
      <c r="H191" t="s">
        <v>17</v>
      </c>
      <c r="I191">
        <v>1</v>
      </c>
      <c r="J191" t="s">
        <v>18</v>
      </c>
      <c r="K191" t="s">
        <v>35</v>
      </c>
      <c r="L191">
        <v>58</v>
      </c>
      <c r="M191" t="str">
        <f t="shared" si="2"/>
        <v>Old</v>
      </c>
      <c r="N191" t="s">
        <v>17</v>
      </c>
    </row>
    <row r="192" spans="1:14">
      <c r="A192">
        <v>17629</v>
      </c>
      <c r="B192" t="s">
        <v>38</v>
      </c>
      <c r="C192" t="s">
        <v>40</v>
      </c>
      <c r="D192" s="5">
        <v>110000</v>
      </c>
      <c r="E192">
        <v>3</v>
      </c>
      <c r="F192" t="s">
        <v>42</v>
      </c>
      <c r="G192" t="s">
        <v>23</v>
      </c>
      <c r="H192" t="s">
        <v>17</v>
      </c>
      <c r="I192">
        <v>1</v>
      </c>
      <c r="J192" t="s">
        <v>18</v>
      </c>
      <c r="K192" t="s">
        <v>35</v>
      </c>
      <c r="L192">
        <v>35</v>
      </c>
      <c r="M192" t="str">
        <f t="shared" si="2"/>
        <v>Adults</v>
      </c>
      <c r="N192" t="s">
        <v>20</v>
      </c>
    </row>
    <row r="193" spans="1:14">
      <c r="A193">
        <v>25587</v>
      </c>
      <c r="B193" t="s">
        <v>41</v>
      </c>
      <c r="C193" t="s">
        <v>40</v>
      </c>
      <c r="D193" s="5">
        <v>80000</v>
      </c>
      <c r="E193">
        <v>5</v>
      </c>
      <c r="F193" t="s">
        <v>30</v>
      </c>
      <c r="G193" t="s">
        <v>23</v>
      </c>
      <c r="H193" t="s">
        <v>17</v>
      </c>
      <c r="I193">
        <v>0</v>
      </c>
      <c r="J193" t="s">
        <v>43</v>
      </c>
      <c r="K193" t="s">
        <v>19</v>
      </c>
      <c r="L193">
        <v>59</v>
      </c>
      <c r="M193" t="str">
        <f t="shared" si="2"/>
        <v>Old</v>
      </c>
      <c r="N193" t="s">
        <v>17</v>
      </c>
    </row>
    <row r="194" spans="1:14">
      <c r="A194">
        <v>15736</v>
      </c>
      <c r="B194" t="s">
        <v>41</v>
      </c>
      <c r="C194" t="s">
        <v>40</v>
      </c>
      <c r="D194" s="5">
        <v>40000</v>
      </c>
      <c r="E194">
        <v>1</v>
      </c>
      <c r="F194" t="s">
        <v>15</v>
      </c>
      <c r="G194" t="s">
        <v>28</v>
      </c>
      <c r="H194" t="s">
        <v>20</v>
      </c>
      <c r="I194">
        <v>0</v>
      </c>
      <c r="J194" t="s">
        <v>18</v>
      </c>
      <c r="K194" t="s">
        <v>27</v>
      </c>
      <c r="L194">
        <v>61</v>
      </c>
      <c r="M194" t="str">
        <f t="shared" si="2"/>
        <v>Old</v>
      </c>
      <c r="N194" t="s">
        <v>17</v>
      </c>
    </row>
    <row r="195" spans="1:14">
      <c r="A195">
        <v>20978</v>
      </c>
      <c r="B195" t="s">
        <v>41</v>
      </c>
      <c r="C195" t="s">
        <v>39</v>
      </c>
      <c r="D195" s="5">
        <v>150000</v>
      </c>
      <c r="E195">
        <v>1</v>
      </c>
      <c r="F195" t="s">
        <v>34</v>
      </c>
      <c r="G195" t="s">
        <v>31</v>
      </c>
      <c r="H195" t="s">
        <v>20</v>
      </c>
      <c r="I195">
        <v>2</v>
      </c>
      <c r="J195" t="s">
        <v>29</v>
      </c>
      <c r="K195" t="s">
        <v>19</v>
      </c>
      <c r="L195">
        <v>46</v>
      </c>
      <c r="M195" t="str">
        <f t="shared" ref="M195:M211" si="3">IF(L195&gt;55,"Old",IF(L195&lt;30,"Young","Adults"))</f>
        <v>Adults</v>
      </c>
      <c r="N195" t="s">
        <v>17</v>
      </c>
    </row>
    <row r="196" spans="1:14">
      <c r="A196">
        <v>25037</v>
      </c>
      <c r="B196" t="s">
        <v>41</v>
      </c>
      <c r="C196" t="s">
        <v>40</v>
      </c>
      <c r="D196" s="5">
        <v>120000</v>
      </c>
      <c r="E196">
        <v>2</v>
      </c>
      <c r="F196" t="s">
        <v>15</v>
      </c>
      <c r="G196" t="s">
        <v>23</v>
      </c>
      <c r="H196" t="s">
        <v>17</v>
      </c>
      <c r="I196">
        <v>1</v>
      </c>
      <c r="J196" t="s">
        <v>43</v>
      </c>
      <c r="K196" t="s">
        <v>35</v>
      </c>
      <c r="L196">
        <v>50</v>
      </c>
      <c r="M196" t="str">
        <f t="shared" si="3"/>
        <v>Adults</v>
      </c>
      <c r="N196" t="s">
        <v>20</v>
      </c>
    </row>
    <row r="197" spans="1:14">
      <c r="A197">
        <v>26884</v>
      </c>
      <c r="B197" t="s">
        <v>41</v>
      </c>
      <c r="C197" t="s">
        <v>40</v>
      </c>
      <c r="D197" s="5">
        <v>50000</v>
      </c>
      <c r="E197">
        <v>1</v>
      </c>
      <c r="F197" t="s">
        <v>42</v>
      </c>
      <c r="G197" t="s">
        <v>16</v>
      </c>
      <c r="H197" t="s">
        <v>20</v>
      </c>
      <c r="I197">
        <v>2</v>
      </c>
      <c r="J197" t="s">
        <v>29</v>
      </c>
      <c r="K197" t="s">
        <v>19</v>
      </c>
      <c r="L197">
        <v>41</v>
      </c>
      <c r="M197" t="str">
        <f t="shared" si="3"/>
        <v>Adults</v>
      </c>
      <c r="N197" t="s">
        <v>20</v>
      </c>
    </row>
    <row r="198" spans="1:14">
      <c r="A198">
        <v>17717</v>
      </c>
      <c r="B198" t="s">
        <v>41</v>
      </c>
      <c r="C198" t="s">
        <v>39</v>
      </c>
      <c r="D198" s="5">
        <v>100000</v>
      </c>
      <c r="E198">
        <v>5</v>
      </c>
      <c r="F198" t="s">
        <v>30</v>
      </c>
      <c r="G198" t="s">
        <v>23</v>
      </c>
      <c r="H198" t="s">
        <v>17</v>
      </c>
      <c r="I198">
        <v>2</v>
      </c>
      <c r="J198" t="s">
        <v>24</v>
      </c>
      <c r="K198" t="s">
        <v>35</v>
      </c>
      <c r="L198">
        <v>40</v>
      </c>
      <c r="M198" t="str">
        <f t="shared" si="3"/>
        <v>Adults</v>
      </c>
      <c r="N198" t="s">
        <v>17</v>
      </c>
    </row>
    <row r="199" spans="1:14">
      <c r="A199">
        <v>13873</v>
      </c>
      <c r="B199" t="s">
        <v>41</v>
      </c>
      <c r="C199" t="s">
        <v>39</v>
      </c>
      <c r="D199" s="5">
        <v>30000</v>
      </c>
      <c r="E199">
        <v>5</v>
      </c>
      <c r="F199" t="s">
        <v>21</v>
      </c>
      <c r="G199" t="s">
        <v>28</v>
      </c>
      <c r="H199" t="s">
        <v>17</v>
      </c>
      <c r="I199">
        <v>2</v>
      </c>
      <c r="J199" t="s">
        <v>24</v>
      </c>
      <c r="K199" t="s">
        <v>35</v>
      </c>
      <c r="L199">
        <v>39</v>
      </c>
      <c r="M199" t="str">
        <f t="shared" si="3"/>
        <v>Adults</v>
      </c>
      <c r="N199" t="s">
        <v>17</v>
      </c>
    </row>
    <row r="200" spans="1:14">
      <c r="A200">
        <v>14376</v>
      </c>
      <c r="B200" t="s">
        <v>41</v>
      </c>
      <c r="C200" t="s">
        <v>40</v>
      </c>
      <c r="D200" s="5">
        <v>130000</v>
      </c>
      <c r="E200">
        <v>3</v>
      </c>
      <c r="F200" t="s">
        <v>42</v>
      </c>
      <c r="G200" t="s">
        <v>31</v>
      </c>
      <c r="H200" t="s">
        <v>20</v>
      </c>
      <c r="I200">
        <v>4</v>
      </c>
      <c r="J200" t="s">
        <v>29</v>
      </c>
      <c r="K200" t="s">
        <v>19</v>
      </c>
      <c r="L200">
        <v>63</v>
      </c>
      <c r="M200" t="str">
        <f t="shared" si="3"/>
        <v>Old</v>
      </c>
      <c r="N200" t="s">
        <v>17</v>
      </c>
    </row>
    <row r="201" spans="1:14">
      <c r="A201">
        <v>27219</v>
      </c>
      <c r="B201" t="s">
        <v>41</v>
      </c>
      <c r="C201" t="s">
        <v>39</v>
      </c>
      <c r="D201" s="5">
        <v>90000</v>
      </c>
      <c r="E201">
        <v>0</v>
      </c>
      <c r="F201" t="s">
        <v>15</v>
      </c>
      <c r="G201" t="s">
        <v>31</v>
      </c>
      <c r="H201" t="s">
        <v>17</v>
      </c>
      <c r="I201">
        <v>4</v>
      </c>
      <c r="J201" t="s">
        <v>43</v>
      </c>
      <c r="K201" t="s">
        <v>19</v>
      </c>
      <c r="L201">
        <v>35</v>
      </c>
      <c r="M201" t="str">
        <f t="shared" si="3"/>
        <v>Adults</v>
      </c>
      <c r="N201" t="s">
        <v>20</v>
      </c>
    </row>
    <row r="202" spans="1:14">
      <c r="A202">
        <v>27050</v>
      </c>
      <c r="B202" t="s">
        <v>41</v>
      </c>
      <c r="C202" t="s">
        <v>40</v>
      </c>
      <c r="D202" s="5">
        <v>150000</v>
      </c>
      <c r="E202">
        <v>0</v>
      </c>
      <c r="F202" t="s">
        <v>21</v>
      </c>
      <c r="G202" t="s">
        <v>31</v>
      </c>
      <c r="H202" t="s">
        <v>20</v>
      </c>
      <c r="I202">
        <v>0</v>
      </c>
      <c r="J202" t="s">
        <v>26</v>
      </c>
      <c r="K202" t="s">
        <v>19</v>
      </c>
      <c r="L202">
        <v>57</v>
      </c>
      <c r="M202" t="str">
        <f t="shared" si="3"/>
        <v>Old</v>
      </c>
      <c r="N202" t="s">
        <v>20</v>
      </c>
    </row>
    <row r="203" spans="1:14">
      <c r="A203">
        <v>24968</v>
      </c>
      <c r="B203" t="s">
        <v>38</v>
      </c>
      <c r="C203" t="s">
        <v>39</v>
      </c>
      <c r="D203" s="5">
        <v>70000</v>
      </c>
      <c r="E203">
        <v>2</v>
      </c>
      <c r="F203" t="s">
        <v>30</v>
      </c>
      <c r="G203" t="s">
        <v>16</v>
      </c>
      <c r="H203" t="s">
        <v>17</v>
      </c>
      <c r="I203">
        <v>1</v>
      </c>
      <c r="J203" t="s">
        <v>43</v>
      </c>
      <c r="K203" t="s">
        <v>19</v>
      </c>
      <c r="L203">
        <v>27</v>
      </c>
      <c r="M203" t="str">
        <f t="shared" si="3"/>
        <v>Young</v>
      </c>
      <c r="N203" t="s">
        <v>20</v>
      </c>
    </row>
    <row r="204" spans="1:14">
      <c r="A204">
        <v>21289</v>
      </c>
      <c r="B204" t="s">
        <v>38</v>
      </c>
      <c r="C204" t="s">
        <v>40</v>
      </c>
      <c r="D204" s="5">
        <v>10000</v>
      </c>
      <c r="E204">
        <v>2</v>
      </c>
      <c r="F204" t="s">
        <v>15</v>
      </c>
      <c r="G204" t="s">
        <v>28</v>
      </c>
      <c r="H204" t="s">
        <v>20</v>
      </c>
      <c r="I204">
        <v>1</v>
      </c>
      <c r="J204" t="s">
        <v>29</v>
      </c>
      <c r="K204" t="s">
        <v>35</v>
      </c>
      <c r="L204">
        <v>51</v>
      </c>
      <c r="M204" t="str">
        <f t="shared" si="3"/>
        <v>Adults</v>
      </c>
      <c r="N204" t="s">
        <v>20</v>
      </c>
    </row>
    <row r="205" spans="1:14">
      <c r="A205">
        <v>22533</v>
      </c>
      <c r="B205" t="s">
        <v>41</v>
      </c>
      <c r="C205" t="s">
        <v>39</v>
      </c>
      <c r="D205" s="5">
        <v>80000</v>
      </c>
      <c r="E205">
        <v>1</v>
      </c>
      <c r="F205" t="s">
        <v>42</v>
      </c>
      <c r="G205" t="s">
        <v>16</v>
      </c>
      <c r="H205" t="s">
        <v>20</v>
      </c>
      <c r="I205">
        <v>0</v>
      </c>
      <c r="J205" t="s">
        <v>29</v>
      </c>
      <c r="K205" t="s">
        <v>35</v>
      </c>
      <c r="L205">
        <v>50</v>
      </c>
      <c r="M205" t="str">
        <f t="shared" si="3"/>
        <v>Adults</v>
      </c>
      <c r="N205" t="s">
        <v>17</v>
      </c>
    </row>
    <row r="206" spans="1:14">
      <c r="A206">
        <v>17297</v>
      </c>
      <c r="B206" t="s">
        <v>38</v>
      </c>
      <c r="C206" t="s">
        <v>40</v>
      </c>
      <c r="D206" s="5">
        <v>40000</v>
      </c>
      <c r="E206">
        <v>4</v>
      </c>
      <c r="F206" t="s">
        <v>30</v>
      </c>
      <c r="G206" t="s">
        <v>28</v>
      </c>
      <c r="H206" t="s">
        <v>20</v>
      </c>
      <c r="I206">
        <v>1</v>
      </c>
      <c r="J206" t="s">
        <v>29</v>
      </c>
      <c r="K206" t="s">
        <v>27</v>
      </c>
      <c r="L206">
        <v>47</v>
      </c>
      <c r="M206" t="str">
        <f t="shared" si="3"/>
        <v>Adults</v>
      </c>
      <c r="N206" t="s">
        <v>17</v>
      </c>
    </row>
    <row r="207" spans="1:14">
      <c r="A207">
        <v>19032</v>
      </c>
      <c r="B207" t="s">
        <v>38</v>
      </c>
      <c r="C207" t="s">
        <v>40</v>
      </c>
      <c r="D207" s="5">
        <v>10000</v>
      </c>
      <c r="E207">
        <v>1</v>
      </c>
      <c r="F207" t="s">
        <v>15</v>
      </c>
      <c r="G207" t="s">
        <v>28</v>
      </c>
      <c r="H207" t="s">
        <v>17</v>
      </c>
      <c r="I207">
        <v>0</v>
      </c>
      <c r="J207" t="s">
        <v>18</v>
      </c>
      <c r="K207" t="s">
        <v>35</v>
      </c>
      <c r="L207">
        <v>27</v>
      </c>
      <c r="M207" t="str">
        <f t="shared" si="3"/>
        <v>Young</v>
      </c>
      <c r="N207" t="s">
        <v>20</v>
      </c>
    </row>
    <row r="208" spans="1:14">
      <c r="A208">
        <v>29588</v>
      </c>
      <c r="B208" t="s">
        <v>38</v>
      </c>
      <c r="C208" t="s">
        <v>40</v>
      </c>
      <c r="D208" s="5">
        <v>40000</v>
      </c>
      <c r="E208">
        <v>1</v>
      </c>
      <c r="F208" t="s">
        <v>15</v>
      </c>
      <c r="G208" t="s">
        <v>28</v>
      </c>
      <c r="H208" t="s">
        <v>17</v>
      </c>
      <c r="I208">
        <v>0</v>
      </c>
      <c r="J208" t="s">
        <v>29</v>
      </c>
      <c r="K208" t="s">
        <v>35</v>
      </c>
      <c r="L208">
        <v>43</v>
      </c>
      <c r="M208" t="str">
        <f t="shared" si="3"/>
        <v>Adults</v>
      </c>
      <c r="N208" t="s">
        <v>17</v>
      </c>
    </row>
    <row r="209" spans="1:14">
      <c r="A209">
        <v>28877</v>
      </c>
      <c r="B209" t="s">
        <v>41</v>
      </c>
      <c r="C209" t="s">
        <v>39</v>
      </c>
      <c r="D209" s="5">
        <v>70000</v>
      </c>
      <c r="E209">
        <v>5</v>
      </c>
      <c r="F209" t="s">
        <v>21</v>
      </c>
      <c r="G209" t="s">
        <v>23</v>
      </c>
      <c r="H209" t="s">
        <v>17</v>
      </c>
      <c r="I209">
        <v>3</v>
      </c>
      <c r="J209" t="s">
        <v>24</v>
      </c>
      <c r="K209" t="s">
        <v>27</v>
      </c>
      <c r="L209">
        <v>28</v>
      </c>
      <c r="M209" t="str">
        <f t="shared" si="3"/>
        <v>Young</v>
      </c>
      <c r="N209" t="s">
        <v>17</v>
      </c>
    </row>
    <row r="210" spans="1:14">
      <c r="A210">
        <v>23998</v>
      </c>
      <c r="B210" t="s">
        <v>41</v>
      </c>
      <c r="C210" t="s">
        <v>40</v>
      </c>
      <c r="D210" s="5">
        <v>30000</v>
      </c>
      <c r="E210">
        <v>5</v>
      </c>
      <c r="F210" t="s">
        <v>30</v>
      </c>
      <c r="G210" t="s">
        <v>28</v>
      </c>
      <c r="H210" t="s">
        <v>20</v>
      </c>
      <c r="I210">
        <v>3</v>
      </c>
      <c r="J210" t="s">
        <v>29</v>
      </c>
      <c r="K210" t="s">
        <v>27</v>
      </c>
      <c r="L210">
        <v>49</v>
      </c>
      <c r="M210" t="str">
        <f t="shared" si="3"/>
        <v>Adults</v>
      </c>
      <c r="N210" t="s">
        <v>17</v>
      </c>
    </row>
    <row r="211" spans="1:14">
      <c r="A211">
        <v>27626</v>
      </c>
      <c r="B211" t="s">
        <v>41</v>
      </c>
      <c r="C211" t="s">
        <v>40</v>
      </c>
      <c r="D211" s="5">
        <v>120000</v>
      </c>
      <c r="E211">
        <v>5</v>
      </c>
      <c r="F211" t="s">
        <v>21</v>
      </c>
      <c r="G211" t="s">
        <v>23</v>
      </c>
      <c r="H211" t="s">
        <v>17</v>
      </c>
      <c r="I211">
        <v>3</v>
      </c>
      <c r="J211" t="s">
        <v>18</v>
      </c>
      <c r="K211" t="s">
        <v>35</v>
      </c>
      <c r="L211">
        <v>51</v>
      </c>
      <c r="M211" t="str">
        <f t="shared" si="3"/>
        <v>Adults</v>
      </c>
      <c r="N211" t="s">
        <v>20</v>
      </c>
    </row>
  </sheetData>
  <autoFilter ref="A1:N211" xr:uid="{929308D0-5007-4C20-B0FC-45B62AFFC29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E3AB-6381-442D-A5D3-FB26877D46A4}">
  <dimension ref="A3:D84"/>
  <sheetViews>
    <sheetView workbookViewId="0">
      <selection activeCell="A3" sqref="A3:D7"/>
    </sheetView>
  </sheetViews>
  <sheetFormatPr defaultRowHeight="15"/>
  <cols>
    <col min="1" max="1" width="23.28515625" bestFit="1" customWidth="1"/>
    <col min="2" max="2" width="18" customWidth="1"/>
    <col min="3" max="3" width="4.42578125" customWidth="1"/>
    <col min="4" max="4" width="11.7109375" bestFit="1" customWidth="1"/>
    <col min="5" max="5" width="10.42578125" bestFit="1" customWidth="1"/>
    <col min="6" max="7" width="11.7109375" bestFit="1" customWidth="1"/>
    <col min="8" max="10" width="6.5703125" bestFit="1" customWidth="1"/>
    <col min="11" max="18" width="7.7109375" bestFit="1" customWidth="1"/>
    <col min="19" max="19" width="11.7109375" bestFit="1" customWidth="1"/>
  </cols>
  <sheetData>
    <row r="3" spans="1:4">
      <c r="A3" s="6" t="s">
        <v>44</v>
      </c>
      <c r="B3" s="6" t="s">
        <v>12</v>
      </c>
    </row>
    <row r="4" spans="1:4">
      <c r="A4" s="6" t="s">
        <v>2</v>
      </c>
      <c r="B4" t="s">
        <v>20</v>
      </c>
      <c r="C4" t="s">
        <v>17</v>
      </c>
      <c r="D4" t="s">
        <v>45</v>
      </c>
    </row>
    <row r="5" spans="1:4">
      <c r="A5" t="s">
        <v>39</v>
      </c>
      <c r="B5" s="7">
        <v>70980.392156862741</v>
      </c>
      <c r="C5" s="7">
        <v>58421.052631578947</v>
      </c>
      <c r="D5" s="7">
        <v>64351.851851851854</v>
      </c>
    </row>
    <row r="6" spans="1:4">
      <c r="A6" t="s">
        <v>40</v>
      </c>
      <c r="B6" s="7">
        <v>72758.620689655174</v>
      </c>
      <c r="C6" s="7">
        <v>60909.090909090912</v>
      </c>
      <c r="D6" s="7">
        <v>67647.058823529413</v>
      </c>
    </row>
    <row r="7" spans="1:4">
      <c r="A7" t="s">
        <v>45</v>
      </c>
      <c r="B7" s="7">
        <v>71926.605504587162</v>
      </c>
      <c r="C7" s="7">
        <v>59504.950495049503</v>
      </c>
      <c r="D7" s="7">
        <v>65952.380952380947</v>
      </c>
    </row>
    <row r="17" spans="1:4">
      <c r="A17" s="6" t="s">
        <v>46</v>
      </c>
      <c r="B17" s="6" t="s">
        <v>12</v>
      </c>
    </row>
    <row r="18" spans="1:4">
      <c r="A18" s="6" t="s">
        <v>9</v>
      </c>
      <c r="B18" t="s">
        <v>20</v>
      </c>
      <c r="C18" t="s">
        <v>17</v>
      </c>
      <c r="D18" t="s">
        <v>45</v>
      </c>
    </row>
    <row r="19" spans="1:4">
      <c r="A19" t="s">
        <v>18</v>
      </c>
      <c r="B19" s="8">
        <v>27</v>
      </c>
      <c r="C19" s="8">
        <v>24</v>
      </c>
      <c r="D19" s="8">
        <v>51</v>
      </c>
    </row>
    <row r="20" spans="1:4">
      <c r="A20" t="s">
        <v>29</v>
      </c>
      <c r="B20" s="8">
        <v>22</v>
      </c>
      <c r="C20" s="8">
        <v>28</v>
      </c>
      <c r="D20" s="8">
        <v>50</v>
      </c>
    </row>
    <row r="21" spans="1:4">
      <c r="A21" t="s">
        <v>24</v>
      </c>
      <c r="B21" s="8">
        <v>18</v>
      </c>
      <c r="C21" s="8">
        <v>18</v>
      </c>
      <c r="D21" s="8">
        <v>36</v>
      </c>
    </row>
    <row r="22" spans="1:4">
      <c r="A22" t="s">
        <v>26</v>
      </c>
      <c r="B22" s="8">
        <v>22</v>
      </c>
      <c r="C22" s="8">
        <v>15</v>
      </c>
      <c r="D22" s="8">
        <v>37</v>
      </c>
    </row>
    <row r="23" spans="1:4">
      <c r="A23" t="s">
        <v>43</v>
      </c>
      <c r="B23" s="8">
        <v>20</v>
      </c>
      <c r="C23" s="8">
        <v>16</v>
      </c>
      <c r="D23" s="8">
        <v>36</v>
      </c>
    </row>
    <row r="24" spans="1:4">
      <c r="A24" t="s">
        <v>45</v>
      </c>
      <c r="B24" s="8">
        <v>109</v>
      </c>
      <c r="C24" s="8">
        <v>101</v>
      </c>
      <c r="D24" s="8">
        <v>210</v>
      </c>
    </row>
    <row r="29" spans="1:4">
      <c r="A29" s="6" t="s">
        <v>46</v>
      </c>
      <c r="B29" s="6" t="s">
        <v>12</v>
      </c>
    </row>
    <row r="30" spans="1:4">
      <c r="A30" s="6" t="s">
        <v>37</v>
      </c>
      <c r="B30" t="s">
        <v>20</v>
      </c>
      <c r="C30" t="s">
        <v>17</v>
      </c>
      <c r="D30" t="s">
        <v>45</v>
      </c>
    </row>
    <row r="31" spans="1:4">
      <c r="A31" t="s">
        <v>47</v>
      </c>
      <c r="B31" s="8">
        <v>78</v>
      </c>
      <c r="C31" s="8">
        <v>70</v>
      </c>
      <c r="D31" s="8">
        <v>148</v>
      </c>
    </row>
    <row r="32" spans="1:4">
      <c r="A32" t="s">
        <v>48</v>
      </c>
      <c r="B32" s="8">
        <v>22</v>
      </c>
      <c r="C32" s="8">
        <v>26</v>
      </c>
      <c r="D32" s="8">
        <v>48</v>
      </c>
    </row>
    <row r="33" spans="1:4">
      <c r="A33" t="s">
        <v>49</v>
      </c>
      <c r="B33" s="8">
        <v>9</v>
      </c>
      <c r="C33" s="8">
        <v>5</v>
      </c>
      <c r="D33" s="8">
        <v>14</v>
      </c>
    </row>
    <row r="34" spans="1:4">
      <c r="A34" t="s">
        <v>45</v>
      </c>
      <c r="B34" s="8">
        <v>109</v>
      </c>
      <c r="C34" s="8">
        <v>101</v>
      </c>
      <c r="D34" s="8">
        <v>210</v>
      </c>
    </row>
    <row r="41" spans="1:4">
      <c r="A41" s="6" t="s">
        <v>46</v>
      </c>
      <c r="B41" s="6" t="s">
        <v>12</v>
      </c>
    </row>
    <row r="42" spans="1:4">
      <c r="A42" s="6" t="s">
        <v>11</v>
      </c>
      <c r="B42" t="s">
        <v>20</v>
      </c>
      <c r="C42" t="s">
        <v>17</v>
      </c>
      <c r="D42" t="s">
        <v>45</v>
      </c>
    </row>
    <row r="43" spans="1:4">
      <c r="A43">
        <v>25</v>
      </c>
      <c r="B43" s="8">
        <v>2</v>
      </c>
      <c r="C43" s="8"/>
      <c r="D43" s="8">
        <v>2</v>
      </c>
    </row>
    <row r="44" spans="1:4">
      <c r="A44">
        <v>26</v>
      </c>
      <c r="B44" s="8"/>
      <c r="C44" s="8">
        <v>1</v>
      </c>
      <c r="D44" s="8">
        <v>1</v>
      </c>
    </row>
    <row r="45" spans="1:4">
      <c r="A45">
        <v>27</v>
      </c>
      <c r="B45" s="8">
        <v>4</v>
      </c>
      <c r="C45" s="8">
        <v>1</v>
      </c>
      <c r="D45" s="8">
        <v>5</v>
      </c>
    </row>
    <row r="46" spans="1:4">
      <c r="A46">
        <v>28</v>
      </c>
      <c r="B46" s="8">
        <v>1</v>
      </c>
      <c r="C46" s="8">
        <v>1</v>
      </c>
      <c r="D46" s="8">
        <v>2</v>
      </c>
    </row>
    <row r="47" spans="1:4">
      <c r="A47">
        <v>29</v>
      </c>
      <c r="B47" s="8">
        <v>2</v>
      </c>
      <c r="C47" s="8">
        <v>2</v>
      </c>
      <c r="D47" s="8">
        <v>4</v>
      </c>
    </row>
    <row r="48" spans="1:4">
      <c r="A48">
        <v>30</v>
      </c>
      <c r="B48" s="8">
        <v>2</v>
      </c>
      <c r="C48" s="8">
        <v>3</v>
      </c>
      <c r="D48" s="8">
        <v>5</v>
      </c>
    </row>
    <row r="49" spans="1:4">
      <c r="A49">
        <v>31</v>
      </c>
      <c r="B49" s="8">
        <v>5</v>
      </c>
      <c r="C49" s="8">
        <v>4</v>
      </c>
      <c r="D49" s="8">
        <v>9</v>
      </c>
    </row>
    <row r="50" spans="1:4">
      <c r="A50">
        <v>32</v>
      </c>
      <c r="B50" s="8">
        <v>6</v>
      </c>
      <c r="C50" s="8">
        <v>1</v>
      </c>
      <c r="D50" s="8">
        <v>7</v>
      </c>
    </row>
    <row r="51" spans="1:4">
      <c r="A51">
        <v>33</v>
      </c>
      <c r="B51" s="8">
        <v>1</v>
      </c>
      <c r="C51" s="8">
        <v>3</v>
      </c>
      <c r="D51" s="8">
        <v>4</v>
      </c>
    </row>
    <row r="52" spans="1:4">
      <c r="A52">
        <v>34</v>
      </c>
      <c r="B52" s="8">
        <v>3</v>
      </c>
      <c r="C52" s="8">
        <v>2</v>
      </c>
      <c r="D52" s="8">
        <v>5</v>
      </c>
    </row>
    <row r="53" spans="1:4">
      <c r="A53">
        <v>35</v>
      </c>
      <c r="B53" s="8">
        <v>4</v>
      </c>
      <c r="C53" s="8">
        <v>3</v>
      </c>
      <c r="D53" s="8">
        <v>7</v>
      </c>
    </row>
    <row r="54" spans="1:4">
      <c r="A54">
        <v>36</v>
      </c>
      <c r="B54" s="8">
        <v>2</v>
      </c>
      <c r="C54" s="8">
        <v>5</v>
      </c>
      <c r="D54" s="8">
        <v>7</v>
      </c>
    </row>
    <row r="55" spans="1:4">
      <c r="A55">
        <v>37</v>
      </c>
      <c r="B55" s="8">
        <v>1</v>
      </c>
      <c r="C55" s="8">
        <v>1</v>
      </c>
      <c r="D55" s="8">
        <v>2</v>
      </c>
    </row>
    <row r="56" spans="1:4">
      <c r="A56">
        <v>38</v>
      </c>
      <c r="B56" s="8">
        <v>2</v>
      </c>
      <c r="C56" s="8">
        <v>2</v>
      </c>
      <c r="D56" s="8">
        <v>4</v>
      </c>
    </row>
    <row r="57" spans="1:4">
      <c r="A57">
        <v>39</v>
      </c>
      <c r="B57" s="8">
        <v>5</v>
      </c>
      <c r="C57" s="8">
        <v>2</v>
      </c>
      <c r="D57" s="8">
        <v>7</v>
      </c>
    </row>
    <row r="58" spans="1:4">
      <c r="A58">
        <v>40</v>
      </c>
      <c r="B58" s="8">
        <v>5</v>
      </c>
      <c r="C58" s="8">
        <v>4</v>
      </c>
      <c r="D58" s="8">
        <v>9</v>
      </c>
    </row>
    <row r="59" spans="1:4">
      <c r="A59">
        <v>41</v>
      </c>
      <c r="B59" s="8">
        <v>4</v>
      </c>
      <c r="C59" s="8">
        <v>1</v>
      </c>
      <c r="D59" s="8">
        <v>5</v>
      </c>
    </row>
    <row r="60" spans="1:4">
      <c r="A60">
        <v>42</v>
      </c>
      <c r="B60" s="8">
        <v>1</v>
      </c>
      <c r="C60" s="8">
        <v>2</v>
      </c>
      <c r="D60" s="8">
        <v>3</v>
      </c>
    </row>
    <row r="61" spans="1:4">
      <c r="A61">
        <v>43</v>
      </c>
      <c r="B61" s="8">
        <v>3</v>
      </c>
      <c r="C61" s="8">
        <v>4</v>
      </c>
      <c r="D61" s="8">
        <v>7</v>
      </c>
    </row>
    <row r="62" spans="1:4">
      <c r="A62">
        <v>44</v>
      </c>
      <c r="B62" s="8">
        <v>1</v>
      </c>
      <c r="C62" s="8">
        <v>1</v>
      </c>
      <c r="D62" s="8">
        <v>2</v>
      </c>
    </row>
    <row r="63" spans="1:4">
      <c r="A63">
        <v>45</v>
      </c>
      <c r="B63" s="8">
        <v>2</v>
      </c>
      <c r="C63" s="8">
        <v>6</v>
      </c>
      <c r="D63" s="8">
        <v>8</v>
      </c>
    </row>
    <row r="64" spans="1:4">
      <c r="A64">
        <v>46</v>
      </c>
      <c r="B64" s="8">
        <v>2</v>
      </c>
      <c r="C64" s="8">
        <v>4</v>
      </c>
      <c r="D64" s="8">
        <v>6</v>
      </c>
    </row>
    <row r="65" spans="1:4">
      <c r="A65">
        <v>47</v>
      </c>
      <c r="B65" s="8">
        <v>2</v>
      </c>
      <c r="C65" s="8">
        <v>3</v>
      </c>
      <c r="D65" s="8">
        <v>5</v>
      </c>
    </row>
    <row r="66" spans="1:4">
      <c r="A66">
        <v>48</v>
      </c>
      <c r="B66" s="8">
        <v>8</v>
      </c>
      <c r="C66" s="8">
        <v>3</v>
      </c>
      <c r="D66" s="8">
        <v>11</v>
      </c>
    </row>
    <row r="67" spans="1:4">
      <c r="A67">
        <v>49</v>
      </c>
      <c r="B67" s="8">
        <v>1</v>
      </c>
      <c r="C67" s="8">
        <v>3</v>
      </c>
      <c r="D67" s="8">
        <v>4</v>
      </c>
    </row>
    <row r="68" spans="1:4">
      <c r="A68">
        <v>50</v>
      </c>
      <c r="B68" s="8">
        <v>5</v>
      </c>
      <c r="C68" s="8">
        <v>1</v>
      </c>
      <c r="D68" s="8">
        <v>6</v>
      </c>
    </row>
    <row r="69" spans="1:4">
      <c r="A69">
        <v>51</v>
      </c>
      <c r="B69" s="8">
        <v>3</v>
      </c>
      <c r="C69" s="8">
        <v>2</v>
      </c>
      <c r="D69" s="8">
        <v>5</v>
      </c>
    </row>
    <row r="70" spans="1:4">
      <c r="A70">
        <v>52</v>
      </c>
      <c r="B70" s="8">
        <v>3</v>
      </c>
      <c r="C70" s="8">
        <v>5</v>
      </c>
      <c r="D70" s="8">
        <v>8</v>
      </c>
    </row>
    <row r="71" spans="1:4">
      <c r="A71">
        <v>53</v>
      </c>
      <c r="B71" s="8">
        <v>1</v>
      </c>
      <c r="C71" s="8">
        <v>3</v>
      </c>
      <c r="D71" s="8">
        <v>4</v>
      </c>
    </row>
    <row r="72" spans="1:4">
      <c r="A72">
        <v>54</v>
      </c>
      <c r="B72" s="8">
        <v>1</v>
      </c>
      <c r="C72" s="8">
        <v>1</v>
      </c>
      <c r="D72" s="8">
        <v>2</v>
      </c>
    </row>
    <row r="73" spans="1:4">
      <c r="A73">
        <v>55</v>
      </c>
      <c r="B73" s="8">
        <v>5</v>
      </c>
      <c r="C73" s="8">
        <v>1</v>
      </c>
      <c r="D73" s="8">
        <v>6</v>
      </c>
    </row>
    <row r="74" spans="1:4">
      <c r="A74">
        <v>56</v>
      </c>
      <c r="B74" s="8">
        <v>1</v>
      </c>
      <c r="C74" s="8">
        <v>2</v>
      </c>
      <c r="D74" s="8">
        <v>3</v>
      </c>
    </row>
    <row r="75" spans="1:4">
      <c r="A75">
        <v>57</v>
      </c>
      <c r="B75" s="8">
        <v>4</v>
      </c>
      <c r="C75" s="8">
        <v>5</v>
      </c>
      <c r="D75" s="8">
        <v>9</v>
      </c>
    </row>
    <row r="76" spans="1:4">
      <c r="A76">
        <v>58</v>
      </c>
      <c r="B76" s="8">
        <v>2</v>
      </c>
      <c r="C76" s="8">
        <v>1</v>
      </c>
      <c r="D76" s="8">
        <v>3</v>
      </c>
    </row>
    <row r="77" spans="1:4">
      <c r="A77">
        <v>59</v>
      </c>
      <c r="B77" s="8">
        <v>2</v>
      </c>
      <c r="C77" s="8">
        <v>4</v>
      </c>
      <c r="D77" s="8">
        <v>6</v>
      </c>
    </row>
    <row r="78" spans="1:4">
      <c r="A78">
        <v>60</v>
      </c>
      <c r="B78" s="8">
        <v>2</v>
      </c>
      <c r="C78" s="8"/>
      <c r="D78" s="8">
        <v>2</v>
      </c>
    </row>
    <row r="79" spans="1:4">
      <c r="A79">
        <v>61</v>
      </c>
      <c r="B79" s="8">
        <v>3</v>
      </c>
      <c r="C79" s="8">
        <v>1</v>
      </c>
      <c r="D79" s="8">
        <v>4</v>
      </c>
    </row>
    <row r="80" spans="1:4">
      <c r="A80">
        <v>62</v>
      </c>
      <c r="B80" s="8">
        <v>2</v>
      </c>
      <c r="C80" s="8">
        <v>4</v>
      </c>
      <c r="D80" s="8">
        <v>6</v>
      </c>
    </row>
    <row r="81" spans="1:4">
      <c r="A81">
        <v>63</v>
      </c>
      <c r="B81" s="8">
        <v>2</v>
      </c>
      <c r="C81" s="8">
        <v>4</v>
      </c>
      <c r="D81" s="8">
        <v>6</v>
      </c>
    </row>
    <row r="82" spans="1:4">
      <c r="A82">
        <v>64</v>
      </c>
      <c r="B82" s="8">
        <v>1</v>
      </c>
      <c r="C82" s="8">
        <v>2</v>
      </c>
      <c r="D82" s="8">
        <v>3</v>
      </c>
    </row>
    <row r="83" spans="1:4">
      <c r="A83">
        <v>65</v>
      </c>
      <c r="B83" s="8">
        <v>3</v>
      </c>
      <c r="C83" s="8">
        <v>3</v>
      </c>
      <c r="D83" s="8">
        <v>6</v>
      </c>
    </row>
    <row r="84" spans="1:4">
      <c r="A84" t="s">
        <v>45</v>
      </c>
      <c r="B84" s="8">
        <v>109</v>
      </c>
      <c r="C84" s="8">
        <v>101</v>
      </c>
      <c r="D84" s="8">
        <v>210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0174-C0C3-4799-A877-ECD431D8AC87}">
  <dimension ref="A1:O6"/>
  <sheetViews>
    <sheetView showGridLines="0" tabSelected="1" workbookViewId="0">
      <selection activeCell="Q23" sqref="Q23"/>
    </sheetView>
  </sheetViews>
  <sheetFormatPr defaultRowHeight="15"/>
  <cols>
    <col min="17" max="17" width="18.140625" bestFit="1" customWidth="1"/>
    <col min="18" max="18" width="18" bestFit="1" customWidth="1"/>
    <col min="19" max="19" width="8.140625" bestFit="1" customWidth="1"/>
    <col min="20" max="20" width="11.7109375" bestFit="1" customWidth="1"/>
  </cols>
  <sheetData>
    <row r="1" spans="1:15" ht="15" customHeight="1">
      <c r="A1" s="10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42">
      <c r="D5" s="9"/>
    </row>
    <row r="6" spans="1:15" ht="42">
      <c r="C6" s="9"/>
    </row>
  </sheetData>
  <mergeCells count="1">
    <mergeCell ref="A1:O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2026-10-18T09:05:53Z</dcterms:created>
  <dcterms:modified xsi:type="dcterms:W3CDTF">2026-10-18T13:13:22Z</dcterms:modified>
  <cp:category/>
  <cp:contentStatus/>
</cp:coreProperties>
</file>