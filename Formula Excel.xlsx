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42\OneDrive\Desktop\New Folder\study\Excel\"/>
    </mc:Choice>
  </mc:AlternateContent>
  <xr:revisionPtr revIDLastSave="0" documentId="8_{64E07169-CA68-4EA9-8A5F-FB0195981BCE}" xr6:coauthVersionLast="47" xr6:coauthVersionMax="47" xr10:uidLastSave="{00000000-0000-0000-0000-000000000000}"/>
  <bookViews>
    <workbookView xWindow="-110" yWindow="-110" windowWidth="19420" windowHeight="10300" firstSheet="6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3" l="1"/>
  <c r="K3" i="13"/>
  <c r="K4" i="13"/>
  <c r="K5" i="13"/>
  <c r="K7" i="13"/>
  <c r="K8" i="13"/>
  <c r="K9" i="13"/>
  <c r="K10" i="13"/>
  <c r="K2" i="13"/>
  <c r="J6" i="13"/>
  <c r="J3" i="13"/>
  <c r="J4" i="13"/>
  <c r="J5" i="13"/>
  <c r="J7" i="13"/>
  <c r="J8" i="13"/>
  <c r="J9" i="13"/>
  <c r="J10" i="13"/>
  <c r="J2" i="13"/>
  <c r="L2" i="5"/>
  <c r="K2" i="5"/>
  <c r="J2" i="5"/>
  <c r="L3" i="12"/>
  <c r="L2" i="12"/>
  <c r="K2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J3" i="6"/>
  <c r="J4" i="6"/>
  <c r="J5" i="6"/>
  <c r="J6" i="6"/>
  <c r="J7" i="6"/>
  <c r="J8" i="6"/>
  <c r="J9" i="6"/>
  <c r="J10" i="6"/>
  <c r="J2" i="6"/>
  <c r="L3" i="3"/>
  <c r="L4" i="3"/>
  <c r="L5" i="3"/>
  <c r="L6" i="3"/>
  <c r="L7" i="3"/>
  <c r="L8" i="3"/>
  <c r="L9" i="3"/>
  <c r="L10" i="3"/>
  <c r="L2" i="3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J3" i="8"/>
  <c r="J4" i="8"/>
  <c r="J5" i="8"/>
  <c r="J6" i="8"/>
  <c r="J7" i="8"/>
  <c r="J8" i="8"/>
  <c r="J9" i="8"/>
  <c r="J10" i="8"/>
  <c r="J2" i="8"/>
  <c r="K2" i="9"/>
  <c r="J2" i="9"/>
  <c r="H11" i="1"/>
  <c r="H12" i="1"/>
</calcChain>
</file>

<file path=xl/sharedStrings.xml><?xml version="1.0" encoding="utf-8"?>
<sst xmlns="http://schemas.openxmlformats.org/spreadsheetml/2006/main" count="571" uniqueCount="96">
  <si>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</si>
  <si>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</si>
  <si>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</si>
  <si>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</si>
  <si>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</si>
  <si>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</si>
  <si>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</si>
  <si>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</si>
  <si>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</si>
  <si>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</si>
  <si>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</si>
  <si>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</si>
  <si>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</si>
  <si>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</si>
  <si>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</si>
  <si>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</si>
  <si>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</si>
  <si>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</si>
  <si>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</si>
  <si>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</si>
  <si>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</si>
  <si>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</si>
  <si>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</si>
  <si>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</si>
  <si>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</si>
  <si>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</si>
  <si>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</si>
  <si>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</si>
  <si>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</si>
  <si>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</si>
  <si>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</si>
  <si>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</si>
  <si>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</si>
  <si>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</si>
  <si>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</si>
  <si>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</si>
  <si>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</si>
  <si>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</si>
  <si>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</si>
  <si>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</si>
  <si>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</si>
  <si>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</si>
  <si>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</si>
  <si>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</si>
  <si>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</si>
  <si>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</si>
  <si>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</si>
  <si>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</si>
  <si>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</si>
  <si>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</si>
  <si>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</si>
  <si>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</si>
  <si>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</si>
  <si>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</si>
  <si>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</si>
  <si>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</si>
  <si>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</si>
  <si>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</si>
  <si>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</si>
  <si>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</si>
  <si>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</si>
  <si>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</si>
  <si>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</si>
  <si>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</si>
  <si>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</si>
  <si>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</si>
  <si>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</si>
  <si>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</si>
  <si>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</si>
  <si>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</si>
  <si>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</si>
  <si>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</si>
  <si>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</si>
  <si>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</si>
  <si>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</si>
  <si>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</si>
  <si>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</si>
  <si>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</si>
  <si>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</si>
  <si>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</si>
  <si>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</si>
  <si>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</si>
  <si>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</si>
  <si>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</si>
  <si>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</si>
  <si>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</si>
  <si>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</si>
  <si>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</si>
  <si>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length based on FirstName strings</t>
  </si>
  <si>
    <t>Left/Right takes values or strings from left/right as per given count respectively.</t>
  </si>
  <si>
    <t xml:space="preserve">If Date column is in text form, it can return Right/Left values correctly, but it's in date form it give random numbers. </t>
  </si>
  <si>
    <t>For that we need to make new column for DateToText.</t>
  </si>
  <si>
    <t>Or if you want year from string column write:  =year()</t>
  </si>
  <si>
    <t>1-5-2000</t>
  </si>
  <si>
    <t>11-8-2003</t>
  </si>
  <si>
    <t>11-2/2001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</si>
</sst>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J2" sqref="J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3">
        <f>MAX(G2:G10)</f>
        <v>65000</v>
      </c>
      <c r="K2" s="3">
        <f>MIN(G2:G10)</f>
        <v>36000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12" sqref="K1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1" max="11" width="18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IF(D2:D10&gt;30,"Aged","Younger")</f>
        <v>Younger</v>
      </c>
      <c r="K2" t="str">
        <f>_xlfn.IFS(G2:G10&lt;=40000,"min",G2:G10&lt;=60000,"mid",G2:G10&gt;=60000,"max")</f>
        <v>mid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IF(D3:D11&gt;30,"Aged","Younger")</f>
        <v>Younger</v>
      </c>
      <c r="K3" t="str">
        <f t="shared" ref="K3:K10" si="1">_xlfn.IFS(G3:G11&lt;=40000,"min",G3:G11&lt;=60000,"mid",G3:G11&gt;=60000,"max")</f>
        <v>min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Younger</v>
      </c>
      <c r="K4" t="str">
        <f t="shared" si="1"/>
        <v>max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Aged</v>
      </c>
      <c r="K5" t="str">
        <f t="shared" si="1"/>
        <v>mid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Aged</v>
      </c>
      <c r="K6" t="str">
        <f t="shared" si="1"/>
        <v>mid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Aged</v>
      </c>
      <c r="K7" t="str">
        <f t="shared" si="1"/>
        <v>max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Aged</v>
      </c>
      <c r="K8" t="str">
        <f t="shared" si="1"/>
        <v>mid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Aged</v>
      </c>
      <c r="K9" t="str">
        <f t="shared" si="1"/>
        <v>mid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Aged</v>
      </c>
      <c r="K10" t="str">
        <f t="shared" si="1"/>
        <v>mid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1"/>
  <sheetViews>
    <sheetView workbookViewId="0">
      <selection activeCell="J12" sqref="J12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LEN(B2:B10)</f>
        <v>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LEN(B3:B11)</f>
        <v>3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4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7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8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7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5</v>
      </c>
    </row>
    <row r="11" spans="1:12" x14ac:dyDescent="0.35">
      <c r="J1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2"/>
  <sheetViews>
    <sheetView workbookViewId="0">
      <selection activeCell="I2" sqref="I2"/>
    </sheetView>
  </sheetViews>
  <sheetFormatPr defaultColWidth="14.54296875" defaultRowHeight="14.5" x14ac:dyDescent="0.35"/>
  <cols>
    <col min="1" max="1" width="10.90625" customWidth="1"/>
    <col min="2" max="2" width="10.7265625" customWidth="1"/>
    <col min="3" max="3" width="13.54296875" customWidth="1"/>
    <col min="4" max="4" width="5.81640625" customWidth="1"/>
    <col min="5" max="5" width="8.453125" customWidth="1"/>
    <col min="7" max="7" width="10.1796875" customWidth="1"/>
    <col min="10" max="10" width="32.36328125" bestFit="1" customWidth="1"/>
    <col min="11" max="11" width="8" customWidth="1"/>
    <col min="12" max="12" width="7.54296875" customWidth="1"/>
    <col min="13" max="13" width="12.08984375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LEFT(E2:E10,1)</f>
        <v>M</v>
      </c>
      <c r="L2" t="str">
        <f>RIGHT(A2:A10,2)</f>
        <v>01</v>
      </c>
      <c r="M2" t="str">
        <f>RIGHT(I2:I10,4)</f>
        <v>2015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LEFT(E3:E11,1)</f>
        <v>F</v>
      </c>
      <c r="L3" t="str">
        <f t="shared" ref="L3:L10" si="1">RIGHT(A3:A11,2)</f>
        <v>02</v>
      </c>
      <c r="M3" t="str">
        <f t="shared" ref="M3:M10" si="2">RIGHT(I3:I11,4)</f>
        <v>2015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M</v>
      </c>
      <c r="L4" t="str">
        <f t="shared" si="1"/>
        <v>03</v>
      </c>
      <c r="M4" t="str">
        <f t="shared" si="2"/>
        <v>2017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F</v>
      </c>
      <c r="L5" t="str">
        <f t="shared" si="1"/>
        <v>04</v>
      </c>
      <c r="M5" t="str">
        <f t="shared" si="2"/>
        <v>2015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M</v>
      </c>
      <c r="L6" t="str">
        <f t="shared" si="1"/>
        <v>05</v>
      </c>
      <c r="M6" t="str">
        <f t="shared" si="2"/>
        <v>2017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M</v>
      </c>
      <c r="L7" t="str">
        <f t="shared" si="1"/>
        <v>06</v>
      </c>
      <c r="M7" t="str">
        <f t="shared" si="2"/>
        <v>2013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F</v>
      </c>
      <c r="L8" t="str">
        <f t="shared" si="1"/>
        <v>07</v>
      </c>
      <c r="M8" t="str">
        <f t="shared" si="2"/>
        <v>2013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M</v>
      </c>
      <c r="L9" t="str">
        <f t="shared" si="1"/>
        <v>08</v>
      </c>
      <c r="M9" t="str">
        <f t="shared" si="2"/>
        <v>2015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M</v>
      </c>
      <c r="L10" t="str">
        <f t="shared" si="1"/>
        <v>09</v>
      </c>
      <c r="M10" t="str">
        <f t="shared" si="2"/>
        <v>2015</v>
      </c>
    </row>
    <row r="12" spans="1:13" x14ac:dyDescent="0.35">
      <c r="A12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L14"/>
  <sheetViews>
    <sheetView workbookViewId="0">
      <selection activeCell="K13" sqref="K1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  <c r="L1" t="s">
        <v>87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TEXT(H2:H10,"dd/mm/yyyy")</f>
        <v>02/11/2001</v>
      </c>
      <c r="K2" s="2"/>
      <c r="L2" t="str">
        <f>RIGHT(J2:J10,4)</f>
        <v>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TEXT(H3:H11,"dd/mm/yyyy")</f>
        <v>03/10/1999</v>
      </c>
      <c r="K3" s="2"/>
      <c r="L3" t="str">
        <f t="shared" ref="L3:L10" si="1">RIGHT(J3:J11,4)</f>
        <v>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  <c r="L4" t="str">
        <f t="shared" si="1"/>
        <v>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  <c r="L5" t="str">
        <f t="shared" si="1"/>
        <v>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  <c r="L6" t="str">
        <f t="shared" si="1"/>
        <v>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  <c r="L7" t="str">
        <f t="shared" si="1"/>
        <v>1995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  <c r="L8" t="str">
        <f t="shared" si="1"/>
        <v>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  <c r="L9" t="str">
        <f t="shared" si="1"/>
        <v>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  <c r="L10" t="str">
        <f t="shared" si="1"/>
        <v>2003</v>
      </c>
    </row>
    <row r="12" spans="1:12" x14ac:dyDescent="0.35">
      <c r="A12" t="s">
        <v>90</v>
      </c>
      <c r="H12" s="1"/>
    </row>
    <row r="13" spans="1:12" x14ac:dyDescent="0.35">
      <c r="A13" t="s">
        <v>91</v>
      </c>
      <c r="H13" s="2"/>
    </row>
    <row r="14" spans="1:12" x14ac:dyDescent="0.35">
      <c r="A14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10" sqref="J10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J1" sqref="J1:K10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</cols>
  <sheetData>
    <row r="1" spans="1:10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0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0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0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0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0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0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0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0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1" spans="1:10" x14ac:dyDescent="0.35">
      <c r="H11" t="str">
        <f t="shared" ref="H11:H12" si="0">CONCATENATE(B11," ",C11)</f>
        <v xml:space="preserve"> </v>
      </c>
    </row>
    <row r="12" spans="1:10" x14ac:dyDescent="0.35">
      <c r="H12" t="str">
        <f t="shared" si="0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11" sqref="K11"/>
    </sheetView>
  </sheetViews>
  <sheetFormatPr defaultColWidth="13.6328125" defaultRowHeight="14.5" x14ac:dyDescent="0.35"/>
  <cols>
    <col min="1" max="1" width="10.81640625" bestFit="1" customWidth="1"/>
    <col min="2" max="2" width="11.26953125" customWidth="1"/>
    <col min="3" max="3" width="13.6328125" customWidth="1"/>
    <col min="4" max="4" width="7.6328125" customWidth="1"/>
    <col min="5" max="5" width="10.36328125" customWidth="1"/>
    <col min="6" max="6" width="13.6328125" customWidth="1"/>
    <col min="7" max="7" width="11" customWidth="1"/>
    <col min="8" max="8" width="11.90625" customWidth="1"/>
    <col min="9" max="9" width="12.453125" customWidth="1"/>
    <col min="10" max="10" width="14.6328125" customWidth="1"/>
    <col min="11" max="11" width="15.54296875" customWidth="1"/>
    <col min="12" max="12" width="17.5429687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95</v>
      </c>
      <c r="I2" s="2" t="s">
        <v>56</v>
      </c>
      <c r="J2" t="str">
        <f>SUBSTITUTE(H2:H10,"-","/",1)</f>
        <v>11/2/2001</v>
      </c>
      <c r="K2" t="str">
        <f>SUBSTITUTE(H2:H10,"-","/",2)</f>
        <v>11-2/2001</v>
      </c>
      <c r="L2" t="str">
        <f>SUBSTITUTE(H2:H10,"-","/")</f>
        <v>11/2/2001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SUBSTITUTE(H3:H11,"-","/",1)</f>
        <v>10/3/1999</v>
      </c>
      <c r="K3" t="str">
        <f t="shared" ref="K3:K10" si="1">SUBSTITUTE(H3:H11,"-","/",2)</f>
        <v>10/3/1999</v>
      </c>
      <c r="L3" t="str">
        <f t="shared" ref="L3:L10" si="2">SUBSTITUTE(H3:H11,"-","/")</f>
        <v>10/3/1999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7/4/2000</v>
      </c>
      <c r="K4" t="str">
        <f t="shared" si="1"/>
        <v>7/4/2000</v>
      </c>
      <c r="L4" t="str">
        <f t="shared" si="2"/>
        <v>7/4/2000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93</v>
      </c>
      <c r="I5" s="2" t="s">
        <v>59</v>
      </c>
      <c r="J5" t="str">
        <f t="shared" si="0"/>
        <v>1/5-2000</v>
      </c>
      <c r="K5" t="str">
        <f t="shared" si="1"/>
        <v>1-5/2000</v>
      </c>
      <c r="L5" t="str">
        <f t="shared" si="2"/>
        <v>1/5/2000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5/6/2001</v>
      </c>
      <c r="K6" t="str">
        <f t="shared" si="1"/>
        <v>5/6/2001</v>
      </c>
      <c r="L6" t="str">
        <f t="shared" si="2"/>
        <v>5/6/2001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5/6/2001</v>
      </c>
      <c r="K7" t="str">
        <f t="shared" si="1"/>
        <v>5/6/2001</v>
      </c>
      <c r="L7" t="str">
        <f t="shared" si="2"/>
        <v>5/6/2001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94</v>
      </c>
      <c r="I8" s="2" t="s">
        <v>61</v>
      </c>
      <c r="J8" t="str">
        <f t="shared" si="0"/>
        <v>11/8-2003</v>
      </c>
      <c r="K8" t="str">
        <f t="shared" si="1"/>
        <v>11-8/2003</v>
      </c>
      <c r="L8" t="str">
        <f t="shared" si="2"/>
        <v>11/8/2003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6/9/2002</v>
      </c>
      <c r="K9" t="str">
        <f t="shared" si="1"/>
        <v>6/9/2002</v>
      </c>
      <c r="L9" t="str">
        <f t="shared" si="2"/>
        <v>6/9/2002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8/10/2003</v>
      </c>
      <c r="K10" t="str">
        <f t="shared" si="1"/>
        <v>8/10/2003</v>
      </c>
      <c r="L10" t="str">
        <f t="shared" si="2"/>
        <v>8/10/2003</v>
      </c>
    </row>
    <row r="12" spans="1:12" x14ac:dyDescent="0.35">
      <c r="H12" s="2"/>
      <c r="I12" s="2"/>
    </row>
    <row r="13" spans="1:12" x14ac:dyDescent="0.35">
      <c r="H13" s="2"/>
      <c r="I13" s="2"/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B1" workbookViewId="0">
      <selection activeCell="L4" sqref="L4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L3">
        <f>SUMIFS(G2:G10,E2:E10,"Male",D2:D10,"&gt;30")</f>
        <v>205000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B1" workbookViewId="0">
      <selection activeCell="L2" sqref="L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COUNTIF(G2:G10,"&gt;40000")</f>
        <v>8</v>
      </c>
      <c r="L2">
        <f>COUNTIFS(D2:D10,"&gt;30",E2:E10,"Male")</f>
        <v>4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I11" sqref="I11"/>
    </sheetView>
  </sheetViews>
  <sheetFormatPr defaultRowHeight="14.5" x14ac:dyDescent="0.35"/>
  <cols>
    <col min="8" max="8" width="14.453125" customWidth="1"/>
    <col min="9" max="9" width="13.36328125" customWidth="1"/>
    <col min="10" max="10" width="11.6328125" customWidth="1"/>
    <col min="11" max="11" width="14.1796875" customWidth="1"/>
    <col min="12" max="12" width="10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36933</v>
      </c>
      <c r="I2" s="1">
        <v>42164</v>
      </c>
      <c r="J2">
        <f>_xlfn.DAYS(I2:I10,H2:H10)</f>
        <v>5231</v>
      </c>
      <c r="K2">
        <f>NETWORKDAYS(H2,I2)</f>
        <v>3737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36229</v>
      </c>
      <c r="I3" s="1">
        <v>42287</v>
      </c>
      <c r="J3">
        <f t="shared" ref="J3:J10" si="0">_xlfn.DAYS(I3:I11,H3:H11)</f>
        <v>6058</v>
      </c>
      <c r="K3">
        <f>NETWORKDAYS(H3,I3)</f>
        <v>4328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36623</v>
      </c>
      <c r="I4" s="1">
        <v>42956</v>
      </c>
      <c r="J4">
        <f t="shared" si="0"/>
        <v>6333</v>
      </c>
      <c r="K4">
        <f t="shared" ref="K3:K10" si="1">NETWORKDAYS(H4,I4)</f>
        <v>4524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36647</v>
      </c>
      <c r="I5" s="1">
        <v>42075</v>
      </c>
      <c r="J5">
        <f t="shared" si="0"/>
        <v>5428</v>
      </c>
      <c r="K5">
        <f t="shared" si="1"/>
        <v>3879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37047</v>
      </c>
      <c r="I6" s="1">
        <v>42977</v>
      </c>
      <c r="J6">
        <f>_xlfn.DAYS(I2:I10,H2:H10)</f>
        <v>5930</v>
      </c>
      <c r="K6" s="3">
        <f>NETWORKDAYS(H6,I6)</f>
        <v>4237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37047</v>
      </c>
      <c r="I7" s="1">
        <v>41587</v>
      </c>
      <c r="J7">
        <f t="shared" si="0"/>
        <v>4540</v>
      </c>
      <c r="K7">
        <f t="shared" si="1"/>
        <v>3244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37844</v>
      </c>
      <c r="I8" s="1">
        <v>41587</v>
      </c>
      <c r="J8">
        <f t="shared" si="0"/>
        <v>3743</v>
      </c>
      <c r="K8">
        <f t="shared" si="1"/>
        <v>2675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37505</v>
      </c>
      <c r="I9" s="1">
        <v>42097</v>
      </c>
      <c r="J9">
        <f t="shared" si="0"/>
        <v>4592</v>
      </c>
      <c r="K9">
        <f t="shared" si="1"/>
        <v>3281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37902</v>
      </c>
      <c r="I10" s="1">
        <v>42116</v>
      </c>
      <c r="J10">
        <f t="shared" si="0"/>
        <v>4214</v>
      </c>
      <c r="K10">
        <f t="shared" si="1"/>
        <v>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91842</cp:lastModifiedBy>
  <dcterms:created xsi:type="dcterms:W3CDTF">2021-12-16T14:18:34Z</dcterms:created>
  <dcterms:modified xsi:type="dcterms:W3CDTF">2026-09-24T10:27:55Z</dcterms:modified>
</cp:coreProperties>
</file>